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ata\C\_msvc_\spellcross-map-edit\other\"/>
    </mc:Choice>
  </mc:AlternateContent>
  <xr:revisionPtr revIDLastSave="0" documentId="13_ncr:1_{EE41DA2E-5D07-4FA6-953F-FEAC711ADD9B}" xr6:coauthVersionLast="47" xr6:coauthVersionMax="47" xr10:uidLastSave="{00000000-0000-0000-0000-000000000000}"/>
  <bookViews>
    <workbookView xWindow="-120" yWindow="-120" windowWidth="29040" windowHeight="17790" activeTab="3" xr2:uid="{00000000-000D-0000-FFFF-FFFF00000000}"/>
  </bookViews>
  <sheets>
    <sheet name="geometry" sheetId="1" r:id="rId1"/>
    <sheet name="kpt.alex" sheetId="2" r:id="rId2"/>
    <sheet name="List1" sheetId="3" r:id="rId3"/>
    <sheet name="ex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2" i="4" l="1"/>
  <c r="V111" i="4"/>
  <c r="V110" i="4"/>
  <c r="V109" i="4"/>
  <c r="V108" i="4"/>
  <c r="V107" i="4"/>
  <c r="V106" i="4"/>
  <c r="V105" i="4"/>
  <c r="V104" i="4"/>
  <c r="V103" i="4"/>
  <c r="V102" i="4"/>
  <c r="V101" i="4"/>
  <c r="V98" i="4"/>
  <c r="V97" i="4"/>
  <c r="V96" i="4"/>
  <c r="V95" i="4"/>
  <c r="V94" i="4"/>
  <c r="V93" i="4"/>
  <c r="V92" i="4"/>
  <c r="V91" i="4"/>
  <c r="V90" i="4"/>
  <c r="V89" i="4"/>
  <c r="V88" i="4"/>
  <c r="V87" i="4"/>
  <c r="V84" i="4"/>
  <c r="V83" i="4"/>
  <c r="V81" i="4"/>
  <c r="V80" i="4"/>
  <c r="V79" i="4"/>
  <c r="V78" i="4"/>
  <c r="V77" i="4"/>
  <c r="V76" i="4"/>
  <c r="V75" i="4"/>
  <c r="V74" i="4"/>
  <c r="V73" i="4"/>
  <c r="V70" i="4"/>
  <c r="V69" i="4"/>
  <c r="V68" i="4"/>
  <c r="V67" i="4"/>
  <c r="V66" i="4"/>
  <c r="V65" i="4"/>
  <c r="V64" i="4"/>
  <c r="V63" i="4"/>
  <c r="V62" i="4"/>
  <c r="V61" i="4"/>
  <c r="V60" i="4"/>
  <c r="V59" i="4"/>
  <c r="V46" i="4"/>
  <c r="V47" i="4"/>
  <c r="V48" i="4"/>
  <c r="V49" i="4"/>
  <c r="V50" i="4"/>
  <c r="V51" i="4"/>
  <c r="V52" i="4"/>
  <c r="V53" i="4"/>
  <c r="V54" i="4"/>
  <c r="V55" i="4"/>
  <c r="V56" i="4"/>
  <c r="V45" i="4"/>
  <c r="U103" i="4"/>
  <c r="U104" i="4"/>
  <c r="U105" i="4"/>
  <c r="U106" i="4"/>
  <c r="U107" i="4"/>
  <c r="U108" i="4"/>
  <c r="U109" i="4"/>
  <c r="U110" i="4"/>
  <c r="U111" i="4"/>
  <c r="U112" i="4"/>
  <c r="U102" i="4"/>
  <c r="U101" i="4"/>
  <c r="U89" i="4"/>
  <c r="U90" i="4"/>
  <c r="U91" i="4"/>
  <c r="U92" i="4"/>
  <c r="U93" i="4"/>
  <c r="U94" i="4"/>
  <c r="U95" i="4"/>
  <c r="U96" i="4"/>
  <c r="U97" i="4"/>
  <c r="U98" i="4"/>
  <c r="U88" i="4"/>
  <c r="U87" i="4"/>
  <c r="U75" i="4"/>
  <c r="U76" i="4"/>
  <c r="U77" i="4"/>
  <c r="U78" i="4"/>
  <c r="U79" i="4"/>
  <c r="U80" i="4"/>
  <c r="U81" i="4"/>
  <c r="U82" i="4"/>
  <c r="U83" i="4"/>
  <c r="U84" i="4"/>
  <c r="U74" i="4"/>
  <c r="U73" i="4"/>
  <c r="Q70" i="4"/>
  <c r="U70" i="4" s="1"/>
  <c r="U61" i="4"/>
  <c r="U62" i="4"/>
  <c r="U63" i="4"/>
  <c r="U64" i="4"/>
  <c r="U65" i="4"/>
  <c r="U66" i="4"/>
  <c r="U67" i="4"/>
  <c r="U68" i="4"/>
  <c r="U69" i="4"/>
  <c r="U60" i="4"/>
  <c r="U59" i="4"/>
  <c r="U45" i="4"/>
  <c r="U46" i="4"/>
  <c r="U47" i="4"/>
  <c r="U48" i="4"/>
  <c r="U49" i="4"/>
  <c r="U50" i="4"/>
  <c r="U51" i="4"/>
  <c r="U52" i="4"/>
  <c r="U53" i="4"/>
  <c r="U54" i="4"/>
  <c r="U55" i="4"/>
  <c r="U56" i="4"/>
  <c r="Q56" i="4"/>
  <c r="J112" i="4"/>
  <c r="H112" i="4"/>
  <c r="G112" i="4"/>
  <c r="F112" i="4"/>
  <c r="E112" i="4"/>
  <c r="R111" i="4"/>
  <c r="Q111" i="4"/>
  <c r="J111" i="4"/>
  <c r="H111" i="4"/>
  <c r="G111" i="4"/>
  <c r="F111" i="4"/>
  <c r="E111" i="4"/>
  <c r="R110" i="4"/>
  <c r="Q110" i="4"/>
  <c r="J110" i="4"/>
  <c r="H110" i="4"/>
  <c r="G110" i="4"/>
  <c r="F110" i="4"/>
  <c r="E110" i="4"/>
  <c r="R109" i="4"/>
  <c r="Q109" i="4"/>
  <c r="J109" i="4"/>
  <c r="H109" i="4"/>
  <c r="G109" i="4"/>
  <c r="F109" i="4"/>
  <c r="E109" i="4"/>
  <c r="R108" i="4"/>
  <c r="Q108" i="4"/>
  <c r="J108" i="4"/>
  <c r="H108" i="4"/>
  <c r="G108" i="4"/>
  <c r="F108" i="4"/>
  <c r="E108" i="4"/>
  <c r="R107" i="4"/>
  <c r="Q107" i="4"/>
  <c r="J107" i="4"/>
  <c r="H107" i="4"/>
  <c r="G107" i="4"/>
  <c r="F107" i="4"/>
  <c r="E107" i="4"/>
  <c r="R106" i="4"/>
  <c r="Q106" i="4"/>
  <c r="J106" i="4"/>
  <c r="H106" i="4"/>
  <c r="G106" i="4"/>
  <c r="F106" i="4"/>
  <c r="E106" i="4"/>
  <c r="R105" i="4"/>
  <c r="Q105" i="4"/>
  <c r="J105" i="4"/>
  <c r="H105" i="4"/>
  <c r="G105" i="4"/>
  <c r="F105" i="4"/>
  <c r="E105" i="4"/>
  <c r="R104" i="4"/>
  <c r="Q104" i="4"/>
  <c r="J104" i="4"/>
  <c r="H104" i="4"/>
  <c r="G104" i="4"/>
  <c r="F104" i="4"/>
  <c r="E104" i="4"/>
  <c r="R103" i="4"/>
  <c r="Q103" i="4"/>
  <c r="J103" i="4"/>
  <c r="H103" i="4"/>
  <c r="G103" i="4"/>
  <c r="F103" i="4"/>
  <c r="E103" i="4"/>
  <c r="R102" i="4"/>
  <c r="Q102" i="4"/>
  <c r="J102" i="4"/>
  <c r="H102" i="4"/>
  <c r="G102" i="4"/>
  <c r="F102" i="4"/>
  <c r="E102" i="4"/>
  <c r="T101" i="4"/>
  <c r="S101" i="4"/>
  <c r="R101" i="4"/>
  <c r="Q101" i="4"/>
  <c r="N101" i="4"/>
  <c r="J101" i="4"/>
  <c r="H101" i="4"/>
  <c r="G101" i="4"/>
  <c r="F101" i="4"/>
  <c r="J98" i="4"/>
  <c r="R97" i="4"/>
  <c r="Q97" i="4"/>
  <c r="J97" i="4"/>
  <c r="H97" i="4"/>
  <c r="G97" i="4"/>
  <c r="F97" i="4"/>
  <c r="E97" i="4"/>
  <c r="R96" i="4"/>
  <c r="Q96" i="4"/>
  <c r="J96" i="4"/>
  <c r="H96" i="4"/>
  <c r="G96" i="4"/>
  <c r="F96" i="4"/>
  <c r="E96" i="4"/>
  <c r="R95" i="4"/>
  <c r="Q95" i="4"/>
  <c r="J95" i="4"/>
  <c r="H95" i="4"/>
  <c r="G95" i="4"/>
  <c r="F95" i="4"/>
  <c r="E95" i="4"/>
  <c r="R94" i="4"/>
  <c r="Q94" i="4"/>
  <c r="J94" i="4"/>
  <c r="H94" i="4"/>
  <c r="G94" i="4"/>
  <c r="F94" i="4"/>
  <c r="E94" i="4"/>
  <c r="R93" i="4"/>
  <c r="Q93" i="4"/>
  <c r="J93" i="4"/>
  <c r="H93" i="4"/>
  <c r="G93" i="4"/>
  <c r="F93" i="4"/>
  <c r="E93" i="4"/>
  <c r="R92" i="4"/>
  <c r="Q92" i="4"/>
  <c r="J92" i="4"/>
  <c r="H92" i="4"/>
  <c r="G92" i="4"/>
  <c r="F92" i="4"/>
  <c r="E92" i="4"/>
  <c r="R91" i="4"/>
  <c r="Q91" i="4"/>
  <c r="J91" i="4"/>
  <c r="H91" i="4"/>
  <c r="G91" i="4"/>
  <c r="F91" i="4"/>
  <c r="E91" i="4"/>
  <c r="R90" i="4"/>
  <c r="Q90" i="4"/>
  <c r="J90" i="4"/>
  <c r="H90" i="4"/>
  <c r="G90" i="4"/>
  <c r="F90" i="4"/>
  <c r="E90" i="4"/>
  <c r="R89" i="4"/>
  <c r="Q89" i="4"/>
  <c r="J89" i="4"/>
  <c r="H89" i="4"/>
  <c r="G89" i="4"/>
  <c r="F89" i="4"/>
  <c r="E89" i="4"/>
  <c r="R88" i="4"/>
  <c r="Q88" i="4"/>
  <c r="J88" i="4"/>
  <c r="H88" i="4"/>
  <c r="G88" i="4"/>
  <c r="F88" i="4"/>
  <c r="E88" i="4"/>
  <c r="T87" i="4"/>
  <c r="S87" i="4"/>
  <c r="R87" i="4"/>
  <c r="Q87" i="4"/>
  <c r="N87" i="4"/>
  <c r="J87" i="4"/>
  <c r="H87" i="4"/>
  <c r="G87" i="4"/>
  <c r="F87" i="4"/>
  <c r="R83" i="4"/>
  <c r="Q83" i="4"/>
  <c r="R82" i="4"/>
  <c r="V82" i="4" s="1"/>
  <c r="Q82" i="4"/>
  <c r="R81" i="4"/>
  <c r="Q81" i="4"/>
  <c r="R80" i="4"/>
  <c r="Q80" i="4"/>
  <c r="R79" i="4"/>
  <c r="Q79" i="4"/>
  <c r="R78" i="4"/>
  <c r="Q78" i="4"/>
  <c r="R77" i="4"/>
  <c r="Q77" i="4"/>
  <c r="R76" i="4"/>
  <c r="Q76" i="4"/>
  <c r="R75" i="4"/>
  <c r="Q75" i="4"/>
  <c r="R74" i="4"/>
  <c r="Q74" i="4"/>
  <c r="T73" i="4"/>
  <c r="S73" i="4"/>
  <c r="R73" i="4"/>
  <c r="Q73" i="4"/>
  <c r="R69" i="4"/>
  <c r="Q69" i="4"/>
  <c r="R68" i="4"/>
  <c r="Q68" i="4"/>
  <c r="R67" i="4"/>
  <c r="Q67" i="4"/>
  <c r="R66" i="4"/>
  <c r="Q66" i="4"/>
  <c r="R65" i="4"/>
  <c r="Q65" i="4"/>
  <c r="R64" i="4"/>
  <c r="Q64" i="4"/>
  <c r="R63" i="4"/>
  <c r="Q63" i="4"/>
  <c r="R62" i="4"/>
  <c r="Q62" i="4"/>
  <c r="R61" i="4"/>
  <c r="Q61" i="4"/>
  <c r="R60" i="4"/>
  <c r="Q60" i="4"/>
  <c r="T59" i="4"/>
  <c r="S59" i="4"/>
  <c r="R59" i="4"/>
  <c r="Q59" i="4"/>
  <c r="R46" i="4"/>
  <c r="R47" i="4"/>
  <c r="R48" i="4"/>
  <c r="R49" i="4"/>
  <c r="R50" i="4"/>
  <c r="R51" i="4"/>
  <c r="R52" i="4"/>
  <c r="R53" i="4"/>
  <c r="R54" i="4"/>
  <c r="R55" i="4"/>
  <c r="R45" i="4"/>
  <c r="Q46" i="4"/>
  <c r="Q47" i="4"/>
  <c r="Q48" i="4"/>
  <c r="Q49" i="4"/>
  <c r="Q50" i="4"/>
  <c r="Q51" i="4"/>
  <c r="Q52" i="4"/>
  <c r="Q53" i="4"/>
  <c r="Q54" i="4"/>
  <c r="Q55" i="4"/>
  <c r="Q45" i="4"/>
  <c r="T45" i="4"/>
  <c r="S45" i="4"/>
  <c r="F45" i="4"/>
  <c r="N73" i="4"/>
  <c r="N59" i="4"/>
  <c r="N45" i="4"/>
  <c r="O45" i="4"/>
  <c r="O46" i="4"/>
  <c r="O47" i="4"/>
  <c r="O48" i="4"/>
  <c r="O49" i="4"/>
  <c r="O50" i="4"/>
  <c r="O51" i="4"/>
  <c r="O52" i="4"/>
  <c r="O53" i="4"/>
  <c r="O54" i="4"/>
  <c r="O55" i="4"/>
  <c r="O56" i="4"/>
  <c r="J74" i="4"/>
  <c r="J75" i="4"/>
  <c r="J76" i="4"/>
  <c r="J77" i="4"/>
  <c r="J78" i="4"/>
  <c r="J79" i="4"/>
  <c r="J80" i="4"/>
  <c r="J81" i="4"/>
  <c r="J82" i="4"/>
  <c r="J83" i="4"/>
  <c r="J73" i="4"/>
  <c r="J60" i="4"/>
  <c r="J61" i="4"/>
  <c r="J62" i="4"/>
  <c r="J63" i="4"/>
  <c r="J64" i="4"/>
  <c r="J65" i="4"/>
  <c r="J66" i="4"/>
  <c r="J67" i="4"/>
  <c r="J68" i="4"/>
  <c r="J69" i="4"/>
  <c r="J59" i="4"/>
  <c r="J46" i="4"/>
  <c r="J47" i="4"/>
  <c r="J48" i="4"/>
  <c r="J49" i="4"/>
  <c r="J50" i="4"/>
  <c r="J51" i="4"/>
  <c r="J52" i="4"/>
  <c r="J53" i="4"/>
  <c r="J54" i="4"/>
  <c r="J55" i="4"/>
  <c r="J45" i="4"/>
  <c r="E46" i="4"/>
  <c r="E47" i="4"/>
  <c r="E48" i="4"/>
  <c r="E49" i="4"/>
  <c r="E50" i="4"/>
  <c r="E51" i="4"/>
  <c r="E52" i="4"/>
  <c r="E53" i="4"/>
  <c r="E54" i="4"/>
  <c r="E55" i="4"/>
  <c r="E45" i="4"/>
  <c r="H74" i="4"/>
  <c r="H75" i="4"/>
  <c r="H76" i="4"/>
  <c r="H77" i="4"/>
  <c r="H78" i="4"/>
  <c r="H79" i="4"/>
  <c r="H80" i="4"/>
  <c r="H81" i="4"/>
  <c r="H82" i="4"/>
  <c r="H83" i="4"/>
  <c r="H73" i="4"/>
  <c r="H60" i="4"/>
  <c r="H61" i="4"/>
  <c r="H62" i="4"/>
  <c r="H63" i="4"/>
  <c r="H64" i="4"/>
  <c r="H65" i="4"/>
  <c r="H66" i="4"/>
  <c r="H67" i="4"/>
  <c r="H68" i="4"/>
  <c r="H69" i="4"/>
  <c r="H59" i="4"/>
  <c r="H46" i="4"/>
  <c r="H47" i="4"/>
  <c r="H48" i="4"/>
  <c r="H49" i="4"/>
  <c r="H50" i="4"/>
  <c r="H51" i="4"/>
  <c r="H52" i="4"/>
  <c r="H53" i="4"/>
  <c r="H54" i="4"/>
  <c r="H55" i="4"/>
  <c r="H45" i="4"/>
  <c r="D84" i="4"/>
  <c r="G84" i="4" s="1"/>
  <c r="G74" i="4"/>
  <c r="G75" i="4"/>
  <c r="G76" i="4"/>
  <c r="G77" i="4"/>
  <c r="G78" i="4"/>
  <c r="G79" i="4"/>
  <c r="G80" i="4"/>
  <c r="G81" i="4"/>
  <c r="G82" i="4"/>
  <c r="G83" i="4"/>
  <c r="G73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G59" i="4"/>
  <c r="G45" i="4"/>
  <c r="K45" i="4" s="1"/>
  <c r="D70" i="4"/>
  <c r="G70" i="4" s="1"/>
  <c r="K70" i="4" s="1"/>
  <c r="G60" i="4"/>
  <c r="K60" i="4" s="1"/>
  <c r="G61" i="4"/>
  <c r="K61" i="4" s="1"/>
  <c r="G62" i="4"/>
  <c r="G63" i="4"/>
  <c r="G64" i="4"/>
  <c r="G65" i="4"/>
  <c r="K65" i="4" s="1"/>
  <c r="G66" i="4"/>
  <c r="K66" i="4" s="1"/>
  <c r="G67" i="4"/>
  <c r="K67" i="4" s="1"/>
  <c r="G68" i="4"/>
  <c r="G69" i="4"/>
  <c r="K69" i="4" s="1"/>
  <c r="D56" i="4"/>
  <c r="G56" i="4" s="1"/>
  <c r="K56" i="4" s="1"/>
  <c r="G46" i="4"/>
  <c r="K46" i="4" s="1"/>
  <c r="G47" i="4"/>
  <c r="K47" i="4" s="1"/>
  <c r="G48" i="4"/>
  <c r="K48" i="4" s="1"/>
  <c r="G49" i="4"/>
  <c r="K49" i="4" s="1"/>
  <c r="G50" i="4"/>
  <c r="K50" i="4" s="1"/>
  <c r="G51" i="4"/>
  <c r="K51" i="4" s="1"/>
  <c r="G52" i="4"/>
  <c r="K52" i="4" s="1"/>
  <c r="G53" i="4"/>
  <c r="K53" i="4" s="1"/>
  <c r="G54" i="4"/>
  <c r="K54" i="4" s="1"/>
  <c r="G55" i="4"/>
  <c r="K55" i="4" s="1"/>
  <c r="F59" i="4"/>
  <c r="F60" i="4"/>
  <c r="F61" i="4"/>
  <c r="F62" i="4"/>
  <c r="F63" i="4"/>
  <c r="F64" i="4"/>
  <c r="F65" i="4"/>
  <c r="F66" i="4"/>
  <c r="F67" i="4"/>
  <c r="F68" i="4"/>
  <c r="F69" i="4"/>
  <c r="F46" i="4"/>
  <c r="F47" i="4"/>
  <c r="F48" i="4"/>
  <c r="F49" i="4"/>
  <c r="F50" i="4"/>
  <c r="F51" i="4"/>
  <c r="F52" i="4"/>
  <c r="F53" i="4"/>
  <c r="F54" i="4"/>
  <c r="F55" i="4"/>
  <c r="E68" i="4"/>
  <c r="B46" i="4"/>
  <c r="B47" i="4"/>
  <c r="B48" i="4"/>
  <c r="B49" i="4"/>
  <c r="B50" i="4"/>
  <c r="B51" i="4"/>
  <c r="B52" i="4"/>
  <c r="B53" i="4"/>
  <c r="B54" i="4"/>
  <c r="B55" i="4"/>
  <c r="B56" i="4"/>
  <c r="B45" i="4"/>
  <c r="E61" i="4"/>
  <c r="E62" i="4"/>
  <c r="E63" i="4"/>
  <c r="E64" i="4"/>
  <c r="E65" i="4"/>
  <c r="E66" i="4"/>
  <c r="E67" i="4"/>
  <c r="E69" i="4"/>
  <c r="E60" i="4"/>
  <c r="Q31" i="4"/>
  <c r="Q30" i="4"/>
  <c r="C41" i="4"/>
  <c r="I41" i="4" s="1"/>
  <c r="I31" i="4"/>
  <c r="I32" i="4"/>
  <c r="I33" i="4"/>
  <c r="I34" i="4"/>
  <c r="I35" i="4"/>
  <c r="I36" i="4"/>
  <c r="I37" i="4"/>
  <c r="I38" i="4"/>
  <c r="I39" i="4"/>
  <c r="I40" i="4"/>
  <c r="I30" i="4"/>
  <c r="N27" i="4"/>
  <c r="M17" i="4"/>
  <c r="O17" i="4" s="1"/>
  <c r="M18" i="4"/>
  <c r="O18" i="4" s="1"/>
  <c r="M19" i="4"/>
  <c r="O19" i="4" s="1"/>
  <c r="M20" i="4"/>
  <c r="O20" i="4" s="1"/>
  <c r="M21" i="4"/>
  <c r="O21" i="4" s="1"/>
  <c r="M22" i="4"/>
  <c r="O22" i="4" s="1"/>
  <c r="M23" i="4"/>
  <c r="O23" i="4" s="1"/>
  <c r="M24" i="4"/>
  <c r="O24" i="4" s="1"/>
  <c r="M25" i="4"/>
  <c r="O25" i="4" s="1"/>
  <c r="M26" i="4"/>
  <c r="O26" i="4" s="1"/>
  <c r="M27" i="4"/>
  <c r="O27" i="4" s="1"/>
  <c r="M16" i="4"/>
  <c r="O16" i="4" s="1"/>
  <c r="C27" i="4"/>
  <c r="I27" i="4" s="1"/>
  <c r="I16" i="4"/>
  <c r="I17" i="4"/>
  <c r="I18" i="4"/>
  <c r="I19" i="4"/>
  <c r="I20" i="4"/>
  <c r="I21" i="4"/>
  <c r="I22" i="4"/>
  <c r="I23" i="4"/>
  <c r="I24" i="4"/>
  <c r="I25" i="4"/>
  <c r="I26" i="4"/>
  <c r="I3" i="4"/>
  <c r="I4" i="4"/>
  <c r="I5" i="4"/>
  <c r="I6" i="4"/>
  <c r="I7" i="4"/>
  <c r="I8" i="4"/>
  <c r="I9" i="4"/>
  <c r="I10" i="4"/>
  <c r="I11" i="4"/>
  <c r="I12" i="4"/>
  <c r="I2" i="4"/>
  <c r="C13" i="4"/>
  <c r="I13" i="4" s="1"/>
  <c r="F98" i="4" l="1"/>
  <c r="G98" i="4"/>
  <c r="H98" i="4"/>
  <c r="E98" i="4"/>
  <c r="H56" i="4"/>
  <c r="J56" i="4"/>
  <c r="E56" i="4"/>
  <c r="J70" i="4"/>
  <c r="J84" i="4"/>
  <c r="H70" i="4"/>
  <c r="H84" i="4"/>
  <c r="K68" i="4"/>
  <c r="E84" i="4"/>
  <c r="F84" i="4"/>
  <c r="K64" i="4"/>
  <c r="K63" i="4"/>
  <c r="K62" i="4"/>
  <c r="K59" i="4"/>
  <c r="F56" i="4"/>
  <c r="D31" i="4"/>
  <c r="D30" i="4"/>
  <c r="D40" i="4"/>
  <c r="D38" i="4"/>
  <c r="D34" i="4"/>
  <c r="D33" i="4"/>
  <c r="D32" i="4"/>
  <c r="D41" i="4"/>
  <c r="D39" i="4"/>
  <c r="D37" i="4"/>
  <c r="D36" i="4"/>
  <c r="D35" i="4"/>
  <c r="J3" i="2"/>
  <c r="J4" i="2"/>
  <c r="J5" i="2"/>
  <c r="J6" i="2"/>
  <c r="J7" i="2"/>
  <c r="J8" i="2"/>
  <c r="J9" i="2"/>
  <c r="J10" i="2"/>
  <c r="J11" i="2"/>
  <c r="J12" i="2"/>
  <c r="J13" i="2"/>
  <c r="J14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2" i="2"/>
  <c r="E70" i="4" l="1"/>
  <c r="F70" i="4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C8" i="1" l="1"/>
  <c r="B4" i="1"/>
  <c r="C4" i="1"/>
  <c r="B6" i="1" l="1"/>
  <c r="B8" i="1" l="1"/>
  <c r="B10" i="1" s="1"/>
</calcChain>
</file>

<file path=xl/sharedStrings.xml><?xml version="1.0" encoding="utf-8"?>
<sst xmlns="http://schemas.openxmlformats.org/spreadsheetml/2006/main" count="98" uniqueCount="57">
  <si>
    <t>y</t>
  </si>
  <si>
    <t>x</t>
  </si>
  <si>
    <t>alpha</t>
  </si>
  <si>
    <t>elev_proj</t>
  </si>
  <si>
    <t>elev_abs</t>
  </si>
  <si>
    <t>&lt;= A-tile y_size</t>
  </si>
  <si>
    <t>&lt;= A-tile x_size</t>
  </si>
  <si>
    <t>&lt;= projected elevation step</t>
  </si>
  <si>
    <t>&lt;= absolute 3D space elevation step</t>
  </si>
  <si>
    <t>&lt;= camera angle from ground parallel</t>
  </si>
  <si>
    <t>per short</t>
  </si>
  <si>
    <t>ap</t>
  </si>
  <si>
    <t>exp</t>
  </si>
  <si>
    <t>LISTA_0.LZ</t>
  </si>
  <si>
    <t>name</t>
  </si>
  <si>
    <t>w</t>
  </si>
  <si>
    <t>war map bottom bar</t>
  </si>
  <si>
    <t>LISTAPAT.LZ</t>
  </si>
  <si>
    <t>war map side filling</t>
  </si>
  <si>
    <t>LISTA_1.LZ</t>
  </si>
  <si>
    <t>war map bottom bar when enemy move</t>
  </si>
  <si>
    <t>I_*</t>
  </si>
  <si>
    <t>unit icons</t>
  </si>
  <si>
    <t>GOTOLSTA.LZ</t>
  </si>
  <si>
    <t>war map bottom bar - center</t>
  </si>
  <si>
    <t>GU_LISTA.LZ</t>
  </si>
  <si>
    <t>wm unit empty panel</t>
  </si>
  <si>
    <t>LISTA_0B.LZ</t>
  </si>
  <si>
    <t>some panel</t>
  </si>
  <si>
    <t>MAP_OPT.LZ</t>
  </si>
  <si>
    <t>wm setup panel</t>
  </si>
  <si>
    <t>M_ACCOMP.LZ</t>
  </si>
  <si>
    <t>wm mission acomplished</t>
  </si>
  <si>
    <t>M_FAILED.LZ</t>
  </si>
  <si>
    <t>wm mission failes</t>
  </si>
  <si>
    <t>moves</t>
  </si>
  <si>
    <t>MM_LOAD.LZ</t>
  </si>
  <si>
    <t>load position screen</t>
  </si>
  <si>
    <t>OPT_BAR.LZ</t>
  </si>
  <si>
    <t>looks like chunk of window frame?</t>
  </si>
  <si>
    <t>mission options frame</t>
  </si>
  <si>
    <t>RAM2VERT.DTA</t>
  </si>
  <si>
    <t>frame vert part</t>
  </si>
  <si>
    <t>RAM2HORZ.DTA</t>
  </si>
  <si>
    <t>frame horz part</t>
  </si>
  <si>
    <t>RAM2ROH.DTA</t>
  </si>
  <si>
    <t>frame corner</t>
  </si>
  <si>
    <t>next level</t>
  </si>
  <si>
    <t>b</t>
  </si>
  <si>
    <t>a</t>
  </si>
  <si>
    <t>level</t>
  </si>
  <si>
    <t>xp</t>
  </si>
  <si>
    <t>next xp</t>
  </si>
  <si>
    <t>min XP</t>
  </si>
  <si>
    <t>max XP</t>
  </si>
  <si>
    <t>xpa</t>
  </si>
  <si>
    <t>xpb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</si>
</sst>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2409219160104987"/>
                  <c:y val="0.22081437736949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exp!$A$30:$A$41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exp!$C$30:$C$41</c:f>
              <c:numCache>
                <c:formatCode>General</c:formatCode>
                <c:ptCount val="12"/>
                <c:pt idx="0">
                  <c:v>150</c:v>
                </c:pt>
                <c:pt idx="1">
                  <c:v>500</c:v>
                </c:pt>
                <c:pt idx="2">
                  <c:v>1103</c:v>
                </c:pt>
                <c:pt idx="3">
                  <c:v>2107</c:v>
                </c:pt>
                <c:pt idx="4">
                  <c:v>3512</c:v>
                </c:pt>
                <c:pt idx="5">
                  <c:v>5319</c:v>
                </c:pt>
                <c:pt idx="6">
                  <c:v>7528</c:v>
                </c:pt>
                <c:pt idx="7">
                  <c:v>10138</c:v>
                </c:pt>
                <c:pt idx="8">
                  <c:v>13150</c:v>
                </c:pt>
                <c:pt idx="9">
                  <c:v>16563</c:v>
                </c:pt>
                <c:pt idx="10">
                  <c:v>20378</c:v>
                </c:pt>
                <c:pt idx="11">
                  <c:v>26000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4-4F3F-8EB1-7F6301A713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exp!$A$30:$A$41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exp!$D$30:$D$41</c:f>
              <c:numCache>
                <c:formatCode>General</c:formatCode>
                <c:ptCount val="12"/>
                <c:pt idx="0">
                  <c:v>150</c:v>
                </c:pt>
                <c:pt idx="1">
                  <c:v>631.84655785531265</c:v>
                </c:pt>
                <c:pt idx="2">
                  <c:v>1465.3204756903931</c:v>
                </c:pt>
                <c:pt idx="3">
                  <c:v>2661.5338178240459</c:v>
                </c:pt>
                <c:pt idx="4">
                  <c:v>4228.464024802015</c:v>
                </c:pt>
                <c:pt idx="5">
                  <c:v>6172.384658132557</c:v>
                </c:pt>
                <c:pt idx="6">
                  <c:v>8498.4863115812968</c:v>
                </c:pt>
                <c:pt idx="7">
                  <c:v>11211.206542717537</c:v>
                </c:pt>
                <c:pt idx="8">
                  <c:v>14314.427309850129</c:v>
                </c:pt>
                <c:pt idx="9">
                  <c:v>17811.60292724118</c:v>
                </c:pt>
                <c:pt idx="10">
                  <c:v>21705.847912566867</c:v>
                </c:pt>
                <c:pt idx="11">
                  <c:v>25999.999999999989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44-4F3F-8EB1-7F6301A71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630992"/>
        <c:axId val="318627632"/>
      </c:scatterChart>
      <c:valAx>
        <c:axId val="3186309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18627632"/>
        <c:crosses val="autoZero"/>
        <c:crossBetween val="midCat"/>
      </c:valAx>
      <c:valAx>
        <c:axId val="318627632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1863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6209170361877128"/>
                  <c:y val="-5.86739024206190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exp!$A$45:$A$55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exp!$J$45:$J$55</c:f>
              <c:numCache>
                <c:formatCode>General</c:formatCode>
                <c:ptCount val="11"/>
                <c:pt idx="0">
                  <c:v>0</c:v>
                </c:pt>
                <c:pt idx="1">
                  <c:v>1.3274733159924657E-2</c:v>
                </c:pt>
                <c:pt idx="2">
                  <c:v>4.3075612162525784E-2</c:v>
                </c:pt>
                <c:pt idx="3">
                  <c:v>9.2743743833527667E-2</c:v>
                </c:pt>
                <c:pt idx="4">
                  <c:v>0.1622791281729303</c:v>
                </c:pt>
                <c:pt idx="5">
                  <c:v>0.25168176518073371</c:v>
                </c:pt>
                <c:pt idx="6">
                  <c:v>0.3609292313211947</c:v>
                </c:pt>
                <c:pt idx="7">
                  <c:v>0.49006637366579964</c:v>
                </c:pt>
                <c:pt idx="8">
                  <c:v>0.6390707686788053</c:v>
                </c:pt>
                <c:pt idx="9">
                  <c:v>0.80791999282446858</c:v>
                </c:pt>
                <c:pt idx="10">
                  <c:v>0.99663646963853258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0-4990-8A78-FC2FC675A88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exp!$A$59:$A$69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exp!$J$59:$J$69</c:f>
              <c:numCache>
                <c:formatCode>General</c:formatCode>
                <c:ptCount val="11"/>
                <c:pt idx="0">
                  <c:v>0</c:v>
                </c:pt>
                <c:pt idx="1">
                  <c:v>1.4167382370268371E-2</c:v>
                </c:pt>
                <c:pt idx="2">
                  <c:v>4.3914626615656517E-2</c:v>
                </c:pt>
                <c:pt idx="3">
                  <c:v>9.3486269137677713E-2</c:v>
                </c:pt>
                <c:pt idx="4">
                  <c:v>0.16289650571025005</c:v>
                </c:pt>
                <c:pt idx="5">
                  <c:v>0.25212404267249638</c:v>
                </c:pt>
                <c:pt idx="6">
                  <c:v>0.36119017368529388</c:v>
                </c:pt>
                <c:pt idx="7">
                  <c:v>0.49008070297472445</c:v>
                </c:pt>
                <c:pt idx="8">
                  <c:v>0.63880982631470606</c:v>
                </c:pt>
                <c:pt idx="9">
                  <c:v>0.80735625004436185</c:v>
                </c:pt>
                <c:pt idx="10">
                  <c:v>0.99574126782456862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50-4990-8A78-FC2FC675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30152"/>
        <c:axId val="784130512"/>
      </c:scatterChart>
      <c:valAx>
        <c:axId val="78413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84130512"/>
        <c:crosses val="autoZero"/>
        <c:crossBetween val="midCat"/>
      </c:valAx>
      <c:valAx>
        <c:axId val="784130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84130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509587</xdr:colOff>
      <xdr:row>2</xdr:row>
      <xdr:rowOff>119062</xdr:rowOff>
    </xdr:from>
    <xdr:to>
      <xdr:col>29</xdr:col>
      <xdr:colOff>204787</xdr:colOff>
      <xdr:row>17</xdr:row>
      <xdr:rowOff>4762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304799</xdr:colOff>
      <xdr:row>37</xdr:row>
      <xdr:rowOff>23811</xdr:rowOff>
    </xdr:from>
    <xdr:to>
      <xdr:col>33</xdr:col>
      <xdr:colOff>9524</xdr:colOff>
      <xdr:row>69</xdr:row>
      <xdr:rowOff>142874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D62A7D31-D1C0-24CD-1268-BAFF67C5A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6" sqref="C6"/>
    </sheetView>
  </sheetViews>
  <sheetFormatPr defaultRowHeight="15" x14ac:dyDescent="0.25"/>
  <sheetData>
    <row r="1" spans="1:5" x14ac:dyDescent="0.25">
      <c r="A1" t="s">
        <v>0</v>
      </c>
      <c r="B1">
        <v>47</v>
      </c>
      <c r="C1">
        <v>48</v>
      </c>
      <c r="E1" t="s">
        <v>5</v>
      </c>
    </row>
    <row r="2" spans="1:5" x14ac:dyDescent="0.25">
      <c r="A2" t="s">
        <v>1</v>
      </c>
      <c r="B2">
        <v>80</v>
      </c>
      <c r="C2">
        <v>81</v>
      </c>
      <c r="E2" t="s">
        <v>6</v>
      </c>
    </row>
    <row r="4" spans="1:5" x14ac:dyDescent="0.25">
      <c r="A4" t="s">
        <v>2</v>
      </c>
      <c r="B4">
        <f>DEGREES(ASIN(B1/B2))</f>
        <v>35.979800597474231</v>
      </c>
      <c r="C4">
        <f>DEGREES(ASIN(C1/C2))</f>
        <v>36.341203093784891</v>
      </c>
      <c r="E4" t="s">
        <v>9</v>
      </c>
    </row>
    <row r="6" spans="1:5" x14ac:dyDescent="0.25">
      <c r="A6" t="s">
        <v>2</v>
      </c>
      <c r="B6">
        <f>B4</f>
        <v>35.979800597474231</v>
      </c>
      <c r="C6">
        <v>37</v>
      </c>
    </row>
    <row r="7" spans="1:5" x14ac:dyDescent="0.25">
      <c r="A7" t="s">
        <v>3</v>
      </c>
      <c r="B7">
        <v>18</v>
      </c>
      <c r="C7">
        <v>19</v>
      </c>
      <c r="E7" t="s">
        <v>7</v>
      </c>
    </row>
    <row r="8" spans="1:5" x14ac:dyDescent="0.25">
      <c r="A8" t="s">
        <v>4</v>
      </c>
      <c r="B8">
        <f>B7/COS(RADIANS(B6))</f>
        <v>22.243527526490958</v>
      </c>
      <c r="C8">
        <f>C7/COS(RADIANS(C6))</f>
        <v>23.790577504968287</v>
      </c>
      <c r="E8" t="s">
        <v>8</v>
      </c>
    </row>
    <row r="10" spans="1:5" x14ac:dyDescent="0.25">
      <c r="B10">
        <f>B8/B2</f>
        <v>0.27804409408113695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F19" sqref="F19"/>
    </sheetView>
  </sheetViews>
  <sheetFormatPr defaultRowHeight="15" x14ac:dyDescent="0.25"/>
  <sheetData>
    <row r="1" spans="1:10" x14ac:dyDescent="0.25">
      <c r="A1" t="s">
        <v>12</v>
      </c>
      <c r="B1" t="s">
        <v>11</v>
      </c>
      <c r="C1" t="s">
        <v>10</v>
      </c>
      <c r="D1" t="s">
        <v>35</v>
      </c>
    </row>
    <row r="2" spans="1:10" x14ac:dyDescent="0.25">
      <c r="A2">
        <v>0</v>
      </c>
      <c r="B2">
        <v>64</v>
      </c>
      <c r="C2">
        <v>21</v>
      </c>
      <c r="D2">
        <v>7</v>
      </c>
      <c r="F2">
        <f t="shared" ref="F2:F14" si="0">ROUNDDOWN(B2/C2,0)</f>
        <v>3</v>
      </c>
      <c r="G2">
        <f t="shared" ref="G2:G14" si="1">B2-F2*C2</f>
        <v>1</v>
      </c>
      <c r="H2">
        <f>B2/(D2)</f>
        <v>9.1428571428571423</v>
      </c>
      <c r="J2">
        <f>B2/7</f>
        <v>9.1428571428571423</v>
      </c>
    </row>
    <row r="3" spans="1:10" x14ac:dyDescent="0.25">
      <c r="A3">
        <v>1</v>
      </c>
      <c r="B3">
        <v>64</v>
      </c>
      <c r="C3">
        <v>21</v>
      </c>
      <c r="D3">
        <v>7</v>
      </c>
      <c r="F3">
        <f t="shared" si="0"/>
        <v>3</v>
      </c>
      <c r="G3">
        <f t="shared" si="1"/>
        <v>1</v>
      </c>
      <c r="H3">
        <f t="shared" ref="H3:H14" si="2">B3/(D3)</f>
        <v>9.1428571428571423</v>
      </c>
      <c r="J3">
        <f t="shared" ref="J3:J14" si="3">B3/7</f>
        <v>9.1428571428571423</v>
      </c>
    </row>
    <row r="4" spans="1:10" x14ac:dyDescent="0.25">
      <c r="A4">
        <v>2</v>
      </c>
      <c r="B4">
        <v>64</v>
      </c>
      <c r="C4">
        <v>21</v>
      </c>
      <c r="D4">
        <v>7</v>
      </c>
      <c r="F4">
        <f t="shared" si="0"/>
        <v>3</v>
      </c>
      <c r="G4">
        <f t="shared" si="1"/>
        <v>1</v>
      </c>
      <c r="H4">
        <f t="shared" si="2"/>
        <v>9.1428571428571423</v>
      </c>
      <c r="J4">
        <f t="shared" si="3"/>
        <v>9.1428571428571423</v>
      </c>
    </row>
    <row r="5" spans="1:10" x14ac:dyDescent="0.25">
      <c r="A5">
        <v>3</v>
      </c>
      <c r="B5">
        <v>64</v>
      </c>
      <c r="C5">
        <v>21</v>
      </c>
      <c r="D5">
        <v>7</v>
      </c>
      <c r="F5">
        <f t="shared" si="0"/>
        <v>3</v>
      </c>
      <c r="G5">
        <f t="shared" si="1"/>
        <v>1</v>
      </c>
      <c r="H5">
        <f t="shared" si="2"/>
        <v>9.1428571428571423</v>
      </c>
      <c r="J5">
        <f t="shared" si="3"/>
        <v>9.1428571428571423</v>
      </c>
    </row>
    <row r="6" spans="1:10" x14ac:dyDescent="0.25">
      <c r="A6">
        <v>4</v>
      </c>
      <c r="B6">
        <v>64</v>
      </c>
      <c r="C6">
        <v>21</v>
      </c>
      <c r="D6">
        <v>7</v>
      </c>
      <c r="F6">
        <f t="shared" si="0"/>
        <v>3</v>
      </c>
      <c r="G6">
        <f t="shared" si="1"/>
        <v>1</v>
      </c>
      <c r="H6">
        <f t="shared" si="2"/>
        <v>9.1428571428571423</v>
      </c>
      <c r="J6">
        <f t="shared" si="3"/>
        <v>9.1428571428571423</v>
      </c>
    </row>
    <row r="7" spans="1:10" x14ac:dyDescent="0.25">
      <c r="A7">
        <v>5</v>
      </c>
      <c r="B7">
        <v>64</v>
      </c>
      <c r="C7">
        <v>15</v>
      </c>
      <c r="D7">
        <v>7</v>
      </c>
      <c r="F7">
        <f t="shared" si="0"/>
        <v>4</v>
      </c>
      <c r="G7">
        <f t="shared" si="1"/>
        <v>4</v>
      </c>
      <c r="H7">
        <f t="shared" si="2"/>
        <v>9.1428571428571423</v>
      </c>
      <c r="J7">
        <f t="shared" si="3"/>
        <v>9.1428571428571423</v>
      </c>
    </row>
    <row r="8" spans="1:10" x14ac:dyDescent="0.25">
      <c r="A8">
        <v>6</v>
      </c>
      <c r="B8">
        <v>71</v>
      </c>
      <c r="C8">
        <v>17</v>
      </c>
      <c r="D8">
        <v>8</v>
      </c>
      <c r="F8">
        <f t="shared" si="0"/>
        <v>4</v>
      </c>
      <c r="G8">
        <f t="shared" si="1"/>
        <v>3</v>
      </c>
      <c r="H8">
        <f t="shared" si="2"/>
        <v>8.875</v>
      </c>
      <c r="J8">
        <f t="shared" si="3"/>
        <v>10.142857142857142</v>
      </c>
    </row>
    <row r="9" spans="1:10" x14ac:dyDescent="0.25">
      <c r="A9">
        <v>7</v>
      </c>
      <c r="B9">
        <v>71</v>
      </c>
      <c r="C9">
        <v>17</v>
      </c>
      <c r="D9">
        <v>8</v>
      </c>
      <c r="F9">
        <f t="shared" si="0"/>
        <v>4</v>
      </c>
      <c r="G9">
        <f t="shared" si="1"/>
        <v>3</v>
      </c>
      <c r="H9">
        <f t="shared" si="2"/>
        <v>8.875</v>
      </c>
      <c r="J9">
        <f t="shared" si="3"/>
        <v>10.142857142857142</v>
      </c>
    </row>
    <row r="10" spans="1:10" x14ac:dyDescent="0.25">
      <c r="A10">
        <v>8</v>
      </c>
      <c r="B10">
        <v>71</v>
      </c>
      <c r="C10">
        <v>17</v>
      </c>
      <c r="D10">
        <v>8</v>
      </c>
      <c r="F10">
        <f t="shared" si="0"/>
        <v>4</v>
      </c>
      <c r="G10">
        <f t="shared" si="1"/>
        <v>3</v>
      </c>
      <c r="H10">
        <f t="shared" si="2"/>
        <v>8.875</v>
      </c>
      <c r="J10">
        <f t="shared" si="3"/>
        <v>10.142857142857142</v>
      </c>
    </row>
    <row r="11" spans="1:10" x14ac:dyDescent="0.25">
      <c r="A11">
        <v>9</v>
      </c>
      <c r="B11">
        <v>78</v>
      </c>
      <c r="C11">
        <v>19</v>
      </c>
      <c r="D11">
        <v>8</v>
      </c>
      <c r="F11">
        <f t="shared" si="0"/>
        <v>4</v>
      </c>
      <c r="G11">
        <f t="shared" si="1"/>
        <v>2</v>
      </c>
      <c r="H11">
        <f t="shared" si="2"/>
        <v>9.75</v>
      </c>
      <c r="J11">
        <f t="shared" si="3"/>
        <v>11.142857142857142</v>
      </c>
    </row>
    <row r="12" spans="1:10" x14ac:dyDescent="0.25">
      <c r="A12">
        <v>10</v>
      </c>
      <c r="B12">
        <v>78</v>
      </c>
      <c r="C12">
        <v>15</v>
      </c>
      <c r="D12">
        <v>9</v>
      </c>
      <c r="F12">
        <f t="shared" si="0"/>
        <v>5</v>
      </c>
      <c r="G12">
        <f t="shared" si="1"/>
        <v>3</v>
      </c>
      <c r="H12">
        <f t="shared" si="2"/>
        <v>8.6666666666666661</v>
      </c>
      <c r="J12">
        <f t="shared" si="3"/>
        <v>11.142857142857142</v>
      </c>
    </row>
    <row r="13" spans="1:10" x14ac:dyDescent="0.25">
      <c r="A13">
        <v>11</v>
      </c>
      <c r="B13">
        <v>78</v>
      </c>
      <c r="C13">
        <v>15</v>
      </c>
      <c r="D13">
        <v>9</v>
      </c>
      <c r="F13">
        <f t="shared" si="0"/>
        <v>5</v>
      </c>
      <c r="G13">
        <f t="shared" si="1"/>
        <v>3</v>
      </c>
      <c r="H13">
        <f t="shared" si="2"/>
        <v>8.6666666666666661</v>
      </c>
      <c r="J13">
        <f t="shared" si="3"/>
        <v>11.142857142857142</v>
      </c>
    </row>
    <row r="14" spans="1:10" x14ac:dyDescent="0.25">
      <c r="A14">
        <v>12</v>
      </c>
      <c r="B14">
        <v>78</v>
      </c>
      <c r="C14">
        <v>15</v>
      </c>
      <c r="D14">
        <v>9</v>
      </c>
      <c r="F14">
        <f t="shared" si="0"/>
        <v>5</v>
      </c>
      <c r="G14">
        <f t="shared" si="1"/>
        <v>3</v>
      </c>
      <c r="H14">
        <f t="shared" si="2"/>
        <v>8.6666666666666661</v>
      </c>
      <c r="J14">
        <f t="shared" si="3"/>
        <v>11.142857142857142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K15" sqref="K15"/>
    </sheetView>
  </sheetViews>
  <sheetFormatPr defaultRowHeight="15" x14ac:dyDescent="0.25"/>
  <cols>
    <col min="1" max="1" width="14.28515625" customWidth="1"/>
  </cols>
  <sheetData>
    <row r="1" spans="1:3" x14ac:dyDescent="0.25">
      <c r="A1" t="s">
        <v>14</v>
      </c>
      <c r="B1" t="s">
        <v>15</v>
      </c>
    </row>
    <row r="2" spans="1:3" x14ac:dyDescent="0.25">
      <c r="A2" t="s">
        <v>13</v>
      </c>
      <c r="B2">
        <v>640</v>
      </c>
      <c r="C2" t="s">
        <v>16</v>
      </c>
    </row>
    <row r="3" spans="1:3" x14ac:dyDescent="0.25">
      <c r="A3" t="s">
        <v>17</v>
      </c>
      <c r="B3">
        <v>32</v>
      </c>
      <c r="C3" t="s">
        <v>18</v>
      </c>
    </row>
    <row r="4" spans="1:3" x14ac:dyDescent="0.25">
      <c r="A4" t="s">
        <v>19</v>
      </c>
      <c r="B4">
        <v>640</v>
      </c>
      <c r="C4" t="s">
        <v>20</v>
      </c>
    </row>
    <row r="5" spans="1:3" x14ac:dyDescent="0.25">
      <c r="A5" t="s">
        <v>21</v>
      </c>
      <c r="B5">
        <v>60</v>
      </c>
      <c r="C5" t="s">
        <v>22</v>
      </c>
    </row>
    <row r="6" spans="1:3" x14ac:dyDescent="0.25">
      <c r="A6" t="s">
        <v>23</v>
      </c>
      <c r="B6">
        <v>176</v>
      </c>
      <c r="C6" t="s">
        <v>24</v>
      </c>
    </row>
    <row r="7" spans="1:3" x14ac:dyDescent="0.25">
      <c r="A7" t="s">
        <v>25</v>
      </c>
      <c r="B7">
        <v>145</v>
      </c>
      <c r="C7" t="s">
        <v>26</v>
      </c>
    </row>
    <row r="8" spans="1:3" x14ac:dyDescent="0.25">
      <c r="A8" t="s">
        <v>27</v>
      </c>
      <c r="B8">
        <v>160</v>
      </c>
      <c r="C8" t="s">
        <v>28</v>
      </c>
    </row>
    <row r="9" spans="1:3" x14ac:dyDescent="0.25">
      <c r="A9" t="s">
        <v>29</v>
      </c>
      <c r="B9">
        <v>436</v>
      </c>
      <c r="C9" t="s">
        <v>30</v>
      </c>
    </row>
    <row r="10" spans="1:3" x14ac:dyDescent="0.25">
      <c r="A10" t="s">
        <v>31</v>
      </c>
      <c r="B10">
        <v>340</v>
      </c>
      <c r="C10" t="s">
        <v>32</v>
      </c>
    </row>
    <row r="11" spans="1:3" x14ac:dyDescent="0.25">
      <c r="A11" t="s">
        <v>33</v>
      </c>
      <c r="B11">
        <v>340</v>
      </c>
      <c r="C11" t="s">
        <v>34</v>
      </c>
    </row>
    <row r="12" spans="1:3" x14ac:dyDescent="0.25">
      <c r="A12" t="s">
        <v>36</v>
      </c>
      <c r="B12">
        <v>402</v>
      </c>
      <c r="C12" t="s">
        <v>37</v>
      </c>
    </row>
    <row r="13" spans="1:3" x14ac:dyDescent="0.25">
      <c r="A13" t="s">
        <v>38</v>
      </c>
      <c r="B13">
        <v>10</v>
      </c>
      <c r="C13" t="s">
        <v>39</v>
      </c>
    </row>
    <row r="14" spans="1:3" x14ac:dyDescent="0.25">
      <c r="A14" t="s">
        <v>29</v>
      </c>
      <c r="B14">
        <v>436</v>
      </c>
      <c r="C14" t="s">
        <v>40</v>
      </c>
    </row>
    <row r="15" spans="1:3" x14ac:dyDescent="0.25">
      <c r="A15" t="s">
        <v>41</v>
      </c>
      <c r="B15">
        <v>10</v>
      </c>
      <c r="C15" t="s">
        <v>42</v>
      </c>
    </row>
    <row r="16" spans="1:3" x14ac:dyDescent="0.25">
      <c r="A16" t="s">
        <v>43</v>
      </c>
      <c r="B16">
        <v>76</v>
      </c>
      <c r="C16" t="s">
        <v>44</v>
      </c>
    </row>
    <row r="17" spans="1:3" x14ac:dyDescent="0.25">
      <c r="A17" t="s">
        <v>45</v>
      </c>
      <c r="B17">
        <v>10</v>
      </c>
      <c r="C17" t="s">
        <v>46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2"/>
  <sheetViews>
    <sheetView tabSelected="1" topLeftCell="F83" workbookViewId="0">
      <selection activeCell="Q57" sqref="Q57"/>
    </sheetView>
  </sheetViews>
  <sheetFormatPr defaultRowHeight="15" x14ac:dyDescent="0.25"/>
  <cols>
    <col min="6" max="6" width="16.28515625" bestFit="1" customWidth="1"/>
    <col min="9" max="10" width="9.5703125" customWidth="1"/>
    <col min="13" max="13" width="9.5703125" bestFit="1" customWidth="1"/>
    <col min="15" max="15" width="11.85546875" bestFit="1" customWidth="1"/>
  </cols>
  <sheetData>
    <row r="1" spans="1:15" x14ac:dyDescent="0.25">
      <c r="C1" t="s">
        <v>47</v>
      </c>
    </row>
    <row r="2" spans="1:15" x14ac:dyDescent="0.25">
      <c r="A2">
        <v>1</v>
      </c>
      <c r="B2">
        <v>96</v>
      </c>
      <c r="C2">
        <v>520</v>
      </c>
      <c r="I2" s="1">
        <f>C2/A2^2.5</f>
        <v>520</v>
      </c>
      <c r="J2" s="1"/>
      <c r="L2">
        <v>520</v>
      </c>
    </row>
    <row r="3" spans="1:15" x14ac:dyDescent="0.25">
      <c r="A3">
        <v>2</v>
      </c>
      <c r="B3">
        <v>1047</v>
      </c>
      <c r="C3">
        <v>3188</v>
      </c>
      <c r="I3" s="1">
        <f t="shared" ref="I3:I13" si="0">C3/A3^2.5</f>
        <v>563.56410460567838</v>
      </c>
      <c r="J3" s="1"/>
      <c r="L3">
        <v>1380</v>
      </c>
    </row>
    <row r="4" spans="1:15" x14ac:dyDescent="0.25">
      <c r="A4">
        <v>3</v>
      </c>
      <c r="B4">
        <v>5736</v>
      </c>
      <c r="C4">
        <v>9632</v>
      </c>
      <c r="I4" s="1">
        <f t="shared" si="0"/>
        <v>617.89308809271927</v>
      </c>
      <c r="J4" s="1"/>
    </row>
    <row r="5" spans="1:15" x14ac:dyDescent="0.25">
      <c r="A5">
        <v>4</v>
      </c>
      <c r="B5">
        <v>14063</v>
      </c>
      <c r="C5">
        <v>20373</v>
      </c>
      <c r="I5" s="1">
        <f t="shared" si="0"/>
        <v>636.65625</v>
      </c>
      <c r="J5" s="1"/>
    </row>
    <row r="6" spans="1:15" x14ac:dyDescent="0.25">
      <c r="A6">
        <v>5</v>
      </c>
      <c r="B6">
        <v>24067</v>
      </c>
      <c r="C6">
        <v>35410</v>
      </c>
      <c r="I6" s="1">
        <f t="shared" si="0"/>
        <v>633.43333666614046</v>
      </c>
      <c r="J6" s="1"/>
    </row>
    <row r="7" spans="1:15" x14ac:dyDescent="0.25">
      <c r="A7">
        <v>6</v>
      </c>
      <c r="B7">
        <v>42870</v>
      </c>
      <c r="C7">
        <v>54743</v>
      </c>
      <c r="I7" s="1">
        <f t="shared" si="0"/>
        <v>620.79822680175721</v>
      </c>
      <c r="J7" s="1"/>
    </row>
    <row r="8" spans="1:15" x14ac:dyDescent="0.25">
      <c r="A8">
        <v>7</v>
      </c>
      <c r="B8">
        <v>63086</v>
      </c>
      <c r="C8">
        <v>78372</v>
      </c>
      <c r="I8" s="1">
        <f t="shared" si="0"/>
        <v>604.5271771159014</v>
      </c>
      <c r="J8" s="1"/>
    </row>
    <row r="9" spans="1:15" x14ac:dyDescent="0.25">
      <c r="A9">
        <v>8</v>
      </c>
      <c r="B9">
        <v>83582</v>
      </c>
      <c r="C9">
        <v>106298</v>
      </c>
      <c r="I9" s="1">
        <f t="shared" si="0"/>
        <v>587.2190361450597</v>
      </c>
      <c r="J9" s="1"/>
    </row>
    <row r="10" spans="1:15" x14ac:dyDescent="0.25">
      <c r="A10">
        <v>9</v>
      </c>
      <c r="B10">
        <v>118842</v>
      </c>
      <c r="C10">
        <v>138520</v>
      </c>
      <c r="I10" s="1">
        <f t="shared" si="0"/>
        <v>570.0411522633741</v>
      </c>
      <c r="J10" s="1"/>
    </row>
    <row r="11" spans="1:15" x14ac:dyDescent="0.25">
      <c r="A11">
        <v>10</v>
      </c>
      <c r="B11">
        <v>144033</v>
      </c>
      <c r="C11">
        <v>175038</v>
      </c>
      <c r="I11" s="1">
        <f t="shared" si="0"/>
        <v>553.51875708055229</v>
      </c>
      <c r="J11" s="1"/>
    </row>
    <row r="12" spans="1:15" x14ac:dyDescent="0.25">
      <c r="A12">
        <v>11</v>
      </c>
      <c r="B12">
        <v>179064</v>
      </c>
      <c r="C12">
        <v>215852</v>
      </c>
      <c r="I12" s="1">
        <f t="shared" si="0"/>
        <v>537.86633677520183</v>
      </c>
      <c r="J12" s="1"/>
    </row>
    <row r="13" spans="1:15" x14ac:dyDescent="0.25">
      <c r="A13">
        <v>12</v>
      </c>
      <c r="B13">
        <v>221564</v>
      </c>
      <c r="C13">
        <f>200*L3</f>
        <v>276000</v>
      </c>
      <c r="I13" s="1">
        <f t="shared" si="0"/>
        <v>553.29400797339144</v>
      </c>
      <c r="J13" s="1"/>
    </row>
    <row r="16" spans="1:15" x14ac:dyDescent="0.25">
      <c r="A16">
        <v>1</v>
      </c>
      <c r="C16">
        <v>1200</v>
      </c>
      <c r="I16" s="1">
        <f>C16/A16^2.5</f>
        <v>1200</v>
      </c>
      <c r="J16" s="1"/>
      <c r="L16">
        <v>1200</v>
      </c>
      <c r="M16" s="1">
        <f>$N$16*A16^2.5</f>
        <v>150</v>
      </c>
      <c r="N16">
        <v>150</v>
      </c>
      <c r="O16">
        <f>M16/A16^2.5</f>
        <v>150</v>
      </c>
    </row>
    <row r="17" spans="1:17" x14ac:dyDescent="0.25">
      <c r="A17">
        <v>2</v>
      </c>
      <c r="C17">
        <v>7225</v>
      </c>
      <c r="I17" s="1">
        <f t="shared" ref="I17:I26" si="1">C17/A17^2.5</f>
        <v>1277.2116235182013</v>
      </c>
      <c r="J17" s="1"/>
      <c r="L17">
        <v>3100</v>
      </c>
      <c r="M17" s="1">
        <f t="shared" ref="M17:M27" si="2">$N$16*A17^2.5</f>
        <v>848.52813742385706</v>
      </c>
      <c r="N17">
        <v>130</v>
      </c>
      <c r="O17">
        <f t="shared" ref="O17:O27" si="3">M17/A17^2.5</f>
        <v>150</v>
      </c>
    </row>
    <row r="18" spans="1:17" x14ac:dyDescent="0.25">
      <c r="A18">
        <v>3</v>
      </c>
      <c r="C18">
        <v>21700</v>
      </c>
      <c r="I18" s="1">
        <f t="shared" si="1"/>
        <v>1392.0556490460972</v>
      </c>
      <c r="J18" s="1"/>
      <c r="M18" s="1">
        <f t="shared" si="2"/>
        <v>2338.2685902179851</v>
      </c>
      <c r="O18">
        <f t="shared" si="3"/>
        <v>150</v>
      </c>
    </row>
    <row r="19" spans="1:17" x14ac:dyDescent="0.25">
      <c r="A19">
        <v>4</v>
      </c>
      <c r="C19">
        <v>45825</v>
      </c>
      <c r="I19" s="1">
        <f t="shared" si="1"/>
        <v>1432.03125</v>
      </c>
      <c r="J19" s="1"/>
      <c r="M19" s="1">
        <f t="shared" si="2"/>
        <v>4800</v>
      </c>
      <c r="O19">
        <f t="shared" si="3"/>
        <v>150</v>
      </c>
    </row>
    <row r="20" spans="1:17" x14ac:dyDescent="0.25">
      <c r="A20">
        <v>5</v>
      </c>
      <c r="C20">
        <v>79600</v>
      </c>
      <c r="I20" s="1">
        <f t="shared" si="1"/>
        <v>1423.9280880718663</v>
      </c>
      <c r="J20" s="1"/>
      <c r="M20" s="1">
        <f t="shared" si="2"/>
        <v>8385.2549156242094</v>
      </c>
      <c r="O20">
        <f t="shared" si="3"/>
        <v>150</v>
      </c>
    </row>
    <row r="21" spans="1:17" x14ac:dyDescent="0.25">
      <c r="A21">
        <v>6</v>
      </c>
      <c r="C21">
        <v>123025</v>
      </c>
      <c r="I21" s="1">
        <f t="shared" si="1"/>
        <v>1395.131831508799</v>
      </c>
      <c r="J21" s="1"/>
      <c r="M21" s="1">
        <f t="shared" si="2"/>
        <v>13227.244611029157</v>
      </c>
      <c r="O21">
        <f t="shared" si="3"/>
        <v>150</v>
      </c>
    </row>
    <row r="22" spans="1:17" x14ac:dyDescent="0.25">
      <c r="A22">
        <v>7</v>
      </c>
      <c r="C22">
        <v>176100</v>
      </c>
      <c r="I22" s="1">
        <f t="shared" si="1"/>
        <v>1358.3580346311212</v>
      </c>
      <c r="J22" s="1"/>
      <c r="M22" s="1">
        <f t="shared" si="2"/>
        <v>19446.272136324733</v>
      </c>
      <c r="O22">
        <f t="shared" si="3"/>
        <v>150</v>
      </c>
    </row>
    <row r="23" spans="1:17" x14ac:dyDescent="0.25">
      <c r="A23">
        <v>8</v>
      </c>
      <c r="C23">
        <v>238825</v>
      </c>
      <c r="I23" s="1">
        <f t="shared" si="1"/>
        <v>1319.3341954443536</v>
      </c>
      <c r="J23" s="1"/>
      <c r="M23" s="1">
        <f t="shared" si="2"/>
        <v>27152.900397563419</v>
      </c>
      <c r="O23">
        <f t="shared" si="3"/>
        <v>150</v>
      </c>
    </row>
    <row r="24" spans="1:17" x14ac:dyDescent="0.25">
      <c r="A24">
        <v>9</v>
      </c>
      <c r="C24">
        <v>311200</v>
      </c>
      <c r="I24" s="1">
        <f t="shared" si="1"/>
        <v>1280.6584362139909</v>
      </c>
      <c r="J24" s="1"/>
      <c r="M24" s="1">
        <f t="shared" si="2"/>
        <v>36450.000000000029</v>
      </c>
      <c r="O24">
        <f t="shared" si="3"/>
        <v>150.00000000000003</v>
      </c>
    </row>
    <row r="25" spans="1:17" x14ac:dyDescent="0.25">
      <c r="A25">
        <v>10</v>
      </c>
      <c r="C25">
        <v>394225</v>
      </c>
      <c r="I25" s="1">
        <f t="shared" si="1"/>
        <v>1246.648910579878</v>
      </c>
      <c r="J25" s="1"/>
      <c r="M25" s="1">
        <f t="shared" si="2"/>
        <v>47434.164902525736</v>
      </c>
      <c r="O25">
        <f t="shared" si="3"/>
        <v>150</v>
      </c>
    </row>
    <row r="26" spans="1:17" x14ac:dyDescent="0.25">
      <c r="A26">
        <v>11</v>
      </c>
      <c r="C26">
        <v>484900</v>
      </c>
      <c r="I26" s="1">
        <f t="shared" si="1"/>
        <v>1208.2880246756822</v>
      </c>
      <c r="J26" s="1"/>
      <c r="M26" s="1">
        <f t="shared" si="2"/>
        <v>60196.739944950525</v>
      </c>
      <c r="O26">
        <f t="shared" si="3"/>
        <v>150</v>
      </c>
    </row>
    <row r="27" spans="1:17" x14ac:dyDescent="0.25">
      <c r="A27">
        <v>12</v>
      </c>
      <c r="C27">
        <f>L17*200</f>
        <v>620000</v>
      </c>
      <c r="I27" s="1">
        <f>C27/A27^2.5</f>
        <v>1242.9068295054444</v>
      </c>
      <c r="J27" s="1"/>
      <c r="M27" s="1">
        <f t="shared" si="2"/>
        <v>74824.594886975494</v>
      </c>
      <c r="N27">
        <f>N17*200</f>
        <v>26000</v>
      </c>
      <c r="O27">
        <f t="shared" si="3"/>
        <v>150</v>
      </c>
    </row>
    <row r="30" spans="1:17" x14ac:dyDescent="0.25">
      <c r="A30">
        <v>1</v>
      </c>
      <c r="C30">
        <v>150</v>
      </c>
      <c r="D30">
        <f>$Q$30*A30^$Q$31</f>
        <v>150</v>
      </c>
      <c r="I30" s="1">
        <f>C30/A30^2.5</f>
        <v>150</v>
      </c>
      <c r="J30" s="1"/>
      <c r="L30">
        <v>150</v>
      </c>
      <c r="P30" t="s">
        <v>49</v>
      </c>
      <c r="Q30">
        <f>L30</f>
        <v>150</v>
      </c>
    </row>
    <row r="31" spans="1:17" x14ac:dyDescent="0.25">
      <c r="A31">
        <v>2</v>
      </c>
      <c r="C31">
        <v>500</v>
      </c>
      <c r="D31">
        <f t="shared" ref="D31:D41" si="4">$Q$30*A31^$Q$31</f>
        <v>631.84655785531265</v>
      </c>
      <c r="I31" s="1">
        <f t="shared" ref="I31:I41" si="5">C31/A31^2.5</f>
        <v>88.38834764831843</v>
      </c>
      <c r="J31" s="1"/>
      <c r="L31">
        <v>130</v>
      </c>
      <c r="P31" t="s">
        <v>48</v>
      </c>
      <c r="Q31">
        <f>LN(L31*200/L30)/LN(12)</f>
        <v>2.0746117458163589</v>
      </c>
    </row>
    <row r="32" spans="1:17" x14ac:dyDescent="0.25">
      <c r="A32">
        <v>3</v>
      </c>
      <c r="C32">
        <v>1103</v>
      </c>
      <c r="D32">
        <f t="shared" si="4"/>
        <v>1465.3204756903931</v>
      </c>
      <c r="I32" s="1">
        <f t="shared" si="5"/>
        <v>70.75748299068411</v>
      </c>
      <c r="J32" s="1"/>
    </row>
    <row r="33" spans="1:22" x14ac:dyDescent="0.25">
      <c r="A33">
        <v>4</v>
      </c>
      <c r="C33">
        <v>2107</v>
      </c>
      <c r="D33">
        <f t="shared" si="4"/>
        <v>2661.5338178240459</v>
      </c>
      <c r="I33" s="1">
        <f t="shared" si="5"/>
        <v>65.84375</v>
      </c>
      <c r="J33" s="1"/>
    </row>
    <row r="34" spans="1:22" x14ac:dyDescent="0.25">
      <c r="A34">
        <v>5</v>
      </c>
      <c r="C34">
        <v>3512</v>
      </c>
      <c r="D34">
        <f t="shared" si="4"/>
        <v>4228.464024802015</v>
      </c>
      <c r="I34" s="1">
        <f t="shared" si="5"/>
        <v>62.824565895834098</v>
      </c>
      <c r="J34" s="1"/>
    </row>
    <row r="35" spans="1:22" x14ac:dyDescent="0.25">
      <c r="A35">
        <v>6</v>
      </c>
      <c r="C35">
        <v>5319</v>
      </c>
      <c r="D35">
        <f t="shared" si="4"/>
        <v>6172.384658132557</v>
      </c>
      <c r="I35" s="1">
        <f t="shared" si="5"/>
        <v>60.318684916035785</v>
      </c>
      <c r="J35" s="1"/>
    </row>
    <row r="36" spans="1:22" x14ac:dyDescent="0.25">
      <c r="A36">
        <v>7</v>
      </c>
      <c r="C36">
        <v>7528</v>
      </c>
      <c r="D36">
        <f t="shared" si="4"/>
        <v>8498.4863115812968</v>
      </c>
      <c r="I36" s="1">
        <f t="shared" si="5"/>
        <v>58.067684751295182</v>
      </c>
      <c r="J36" s="1"/>
    </row>
    <row r="37" spans="1:22" x14ac:dyDescent="0.25">
      <c r="A37">
        <v>8</v>
      </c>
      <c r="C37">
        <v>10138</v>
      </c>
      <c r="D37">
        <f t="shared" si="4"/>
        <v>11211.206542717537</v>
      </c>
      <c r="I37" s="1">
        <f t="shared" si="5"/>
        <v>56.005066778665785</v>
      </c>
      <c r="J37" s="1"/>
    </row>
    <row r="38" spans="1:22" x14ac:dyDescent="0.25">
      <c r="A38">
        <v>9</v>
      </c>
      <c r="C38">
        <v>13150</v>
      </c>
      <c r="D38">
        <f t="shared" si="4"/>
        <v>14314.427309850129</v>
      </c>
      <c r="I38" s="1">
        <f t="shared" si="5"/>
        <v>54.115226337448519</v>
      </c>
      <c r="J38" s="1"/>
    </row>
    <row r="39" spans="1:22" x14ac:dyDescent="0.25">
      <c r="A39">
        <v>10</v>
      </c>
      <c r="C39">
        <v>16563</v>
      </c>
      <c r="D39">
        <f t="shared" si="4"/>
        <v>17811.60292724118</v>
      </c>
      <c r="I39" s="1">
        <f t="shared" si="5"/>
        <v>52.376804885368813</v>
      </c>
      <c r="J39" s="1"/>
    </row>
    <row r="40" spans="1:22" x14ac:dyDescent="0.25">
      <c r="A40">
        <v>11</v>
      </c>
      <c r="C40">
        <v>20378</v>
      </c>
      <c r="D40">
        <f t="shared" si="4"/>
        <v>21705.847912566867</v>
      </c>
      <c r="I40" s="1">
        <f t="shared" si="5"/>
        <v>50.778497353765829</v>
      </c>
      <c r="J40" s="1"/>
    </row>
    <row r="41" spans="1:22" x14ac:dyDescent="0.25">
      <c r="A41">
        <v>12</v>
      </c>
      <c r="C41">
        <f>L31*200</f>
        <v>26000</v>
      </c>
      <c r="D41">
        <f t="shared" si="4"/>
        <v>25999.999999999989</v>
      </c>
      <c r="I41" s="1">
        <f t="shared" si="5"/>
        <v>52.121899301841218</v>
      </c>
      <c r="J41" s="1"/>
    </row>
    <row r="42" spans="1:22" x14ac:dyDescent="0.25">
      <c r="I42" s="1"/>
      <c r="J42" s="1"/>
    </row>
    <row r="43" spans="1:22" x14ac:dyDescent="0.25">
      <c r="I43" s="1"/>
      <c r="J43" s="1"/>
    </row>
    <row r="44" spans="1:22" x14ac:dyDescent="0.25">
      <c r="A44" t="s">
        <v>50</v>
      </c>
      <c r="C44" t="s">
        <v>51</v>
      </c>
      <c r="D44" t="s">
        <v>52</v>
      </c>
      <c r="L44" t="s">
        <v>53</v>
      </c>
      <c r="M44">
        <v>150</v>
      </c>
      <c r="Q44" t="s">
        <v>1</v>
      </c>
      <c r="R44" t="s">
        <v>0</v>
      </c>
      <c r="S44" t="s">
        <v>55</v>
      </c>
      <c r="T44" t="s">
        <v>56</v>
      </c>
    </row>
    <row r="45" spans="1:22" x14ac:dyDescent="0.25">
      <c r="A45">
        <v>1</v>
      </c>
      <c r="B45">
        <f>LOG10(A45)</f>
        <v>0</v>
      </c>
      <c r="C45">
        <v>0</v>
      </c>
      <c r="D45">
        <v>150</v>
      </c>
      <c r="E45">
        <f>D45/$D$55</f>
        <v>3.3635303614673964E-3</v>
      </c>
      <c r="F45">
        <f>LOG10(D45)</f>
        <v>2.1760912590556813</v>
      </c>
      <c r="G45">
        <f>(D45-$M$44)/$M$45</f>
        <v>0</v>
      </c>
      <c r="H45">
        <f>D45/$M$45</f>
        <v>5.263157894736842E-3</v>
      </c>
      <c r="J45">
        <f>(D45-$D$45)/$D$55</f>
        <v>0</v>
      </c>
      <c r="K45">
        <f>$M$44+G45*$M$45</f>
        <v>150</v>
      </c>
      <c r="L45" t="s">
        <v>54</v>
      </c>
      <c r="M45">
        <v>28500</v>
      </c>
      <c r="N45">
        <f>M45/M44</f>
        <v>190</v>
      </c>
      <c r="O45" s="1">
        <f>$M$44*A45^$M$48</f>
        <v>150</v>
      </c>
      <c r="P45" s="2"/>
      <c r="Q45">
        <f>A45</f>
        <v>1</v>
      </c>
      <c r="R45">
        <f>D45</f>
        <v>150</v>
      </c>
      <c r="S45">
        <f>M44</f>
        <v>150</v>
      </c>
      <c r="T45" s="1">
        <f>M45</f>
        <v>28500</v>
      </c>
      <c r="U45" s="1">
        <f>R45</f>
        <v>150</v>
      </c>
      <c r="V45" s="2">
        <f>U45-R45</f>
        <v>0</v>
      </c>
    </row>
    <row r="46" spans="1:22" x14ac:dyDescent="0.25">
      <c r="A46">
        <v>2</v>
      </c>
      <c r="B46">
        <f t="shared" ref="B46:B56" si="6">LOG10(A46)</f>
        <v>0.3010299956639812</v>
      </c>
      <c r="D46">
        <v>742</v>
      </c>
      <c r="E46">
        <f t="shared" ref="E46:E56" si="7">D46/$D$55</f>
        <v>1.6638263521392051E-2</v>
      </c>
      <c r="F46">
        <f t="shared" ref="F46:F56" si="8">LOG10(D46)</f>
        <v>2.8704039052790269</v>
      </c>
      <c r="G46">
        <f>(D46-$M$44)/$M$45</f>
        <v>2.0771929824561403E-2</v>
      </c>
      <c r="H46">
        <f t="shared" ref="H46:H56" si="9">D46/$M$45</f>
        <v>2.6035087719298244E-2</v>
      </c>
      <c r="J46">
        <f t="shared" ref="J46:J56" si="10">(D46-$D$45)/$D$55</f>
        <v>1.3274733159924657E-2</v>
      </c>
      <c r="K46">
        <f>$M$44+G46*$M$45</f>
        <v>742</v>
      </c>
      <c r="O46" s="1">
        <f t="shared" ref="O46:O56" si="11">$M$44*A46^$M$48</f>
        <v>775.41169838249539</v>
      </c>
      <c r="P46" s="2"/>
      <c r="Q46">
        <f t="shared" ref="Q46:Q56" si="12">A46</f>
        <v>2</v>
      </c>
      <c r="R46">
        <f t="shared" ref="R46:R55" si="13">D46</f>
        <v>742</v>
      </c>
      <c r="T46" s="1"/>
      <c r="U46" s="1">
        <f t="shared" ref="U46:U56" si="14">ROUNDDOWN(2*$S$45+(Q46-1)^2/64*($T$45-$S$45),0)</f>
        <v>742</v>
      </c>
      <c r="V46" s="2">
        <f t="shared" ref="V46:V56" si="15">U46-R46</f>
        <v>0</v>
      </c>
    </row>
    <row r="47" spans="1:22" x14ac:dyDescent="0.25">
      <c r="A47">
        <v>3</v>
      </c>
      <c r="B47">
        <f t="shared" si="6"/>
        <v>0.47712125471966244</v>
      </c>
      <c r="D47">
        <v>2071</v>
      </c>
      <c r="E47">
        <f t="shared" si="7"/>
        <v>4.6439142523993185E-2</v>
      </c>
      <c r="F47">
        <f t="shared" si="8"/>
        <v>3.3161800988934527</v>
      </c>
      <c r="G47">
        <f>(D47-$M$44)/$M$45</f>
        <v>6.7403508771929826E-2</v>
      </c>
      <c r="H47">
        <f t="shared" si="9"/>
        <v>7.2666666666666671E-2</v>
      </c>
      <c r="J47">
        <f t="shared" si="10"/>
        <v>4.3075612162525784E-2</v>
      </c>
      <c r="K47">
        <f>$M$44+G47*$M$45</f>
        <v>2071</v>
      </c>
      <c r="O47" s="1">
        <f t="shared" si="11"/>
        <v>2027.0694701040443</v>
      </c>
      <c r="P47" s="2"/>
      <c r="Q47">
        <f t="shared" si="12"/>
        <v>3</v>
      </c>
      <c r="R47">
        <f t="shared" si="13"/>
        <v>2071</v>
      </c>
      <c r="T47" s="1"/>
      <c r="U47" s="1">
        <f t="shared" si="14"/>
        <v>2071</v>
      </c>
      <c r="V47" s="2">
        <f t="shared" si="15"/>
        <v>0</v>
      </c>
    </row>
    <row r="48" spans="1:22" x14ac:dyDescent="0.25">
      <c r="A48">
        <v>4</v>
      </c>
      <c r="B48">
        <f t="shared" si="6"/>
        <v>0.6020599913279624</v>
      </c>
      <c r="D48">
        <v>4286</v>
      </c>
      <c r="E48">
        <f t="shared" si="7"/>
        <v>9.6107274194995068E-2</v>
      </c>
      <c r="F48">
        <f t="shared" si="8"/>
        <v>3.6320521667058099</v>
      </c>
      <c r="G48">
        <f>(D48-$M$44)/$M$45</f>
        <v>0.14512280701754385</v>
      </c>
      <c r="H48">
        <f t="shared" si="9"/>
        <v>0.15038596491228071</v>
      </c>
      <c r="J48">
        <f t="shared" si="10"/>
        <v>9.2743743833527667E-2</v>
      </c>
      <c r="K48">
        <f>$M$44+G48*$M$45</f>
        <v>4286</v>
      </c>
      <c r="L48" t="s">
        <v>49</v>
      </c>
      <c r="M48">
        <v>2.37</v>
      </c>
      <c r="O48" s="1">
        <f t="shared" si="11"/>
        <v>4008.4220132561736</v>
      </c>
      <c r="P48" s="2"/>
      <c r="Q48">
        <f t="shared" si="12"/>
        <v>4</v>
      </c>
      <c r="R48">
        <f t="shared" si="13"/>
        <v>4286</v>
      </c>
      <c r="T48" s="1"/>
      <c r="U48" s="1">
        <f t="shared" si="14"/>
        <v>4286</v>
      </c>
      <c r="V48" s="2">
        <f t="shared" si="15"/>
        <v>0</v>
      </c>
    </row>
    <row r="49" spans="1:22" x14ac:dyDescent="0.25">
      <c r="A49">
        <v>5</v>
      </c>
      <c r="B49">
        <f t="shared" si="6"/>
        <v>0.69897000433601886</v>
      </c>
      <c r="D49">
        <v>7387</v>
      </c>
      <c r="E49">
        <f t="shared" si="7"/>
        <v>0.16564265853439769</v>
      </c>
      <c r="F49">
        <f t="shared" si="8"/>
        <v>3.8684680990209865</v>
      </c>
      <c r="G49">
        <f>(D49-$M$44)/$M$45</f>
        <v>0.25392982456140351</v>
      </c>
      <c r="H49">
        <f t="shared" si="9"/>
        <v>0.25919298245614036</v>
      </c>
      <c r="J49">
        <f t="shared" si="10"/>
        <v>0.1622791281729303</v>
      </c>
      <c r="K49">
        <f>$M$44+G49*$M$45</f>
        <v>7387</v>
      </c>
      <c r="O49" s="1">
        <f t="shared" si="11"/>
        <v>6802.2120964546129</v>
      </c>
      <c r="P49" s="2"/>
      <c r="Q49">
        <f t="shared" si="12"/>
        <v>5</v>
      </c>
      <c r="R49">
        <f t="shared" si="13"/>
        <v>7387</v>
      </c>
      <c r="T49" s="1"/>
      <c r="U49" s="1">
        <f t="shared" si="14"/>
        <v>7387</v>
      </c>
      <c r="V49" s="2">
        <f t="shared" si="15"/>
        <v>0</v>
      </c>
    </row>
    <row r="50" spans="1:22" x14ac:dyDescent="0.25">
      <c r="A50">
        <v>6</v>
      </c>
      <c r="B50">
        <f t="shared" si="6"/>
        <v>0.77815125038364363</v>
      </c>
      <c r="D50">
        <v>11374</v>
      </c>
      <c r="E50">
        <f t="shared" si="7"/>
        <v>0.25504529554220107</v>
      </c>
      <c r="F50">
        <f t="shared" si="8"/>
        <v>4.0559132239161491</v>
      </c>
      <c r="G50">
        <f>(D50-$M$44)/$M$45</f>
        <v>0.3938245614035088</v>
      </c>
      <c r="H50">
        <f t="shared" si="9"/>
        <v>0.3990877192982456</v>
      </c>
      <c r="J50">
        <f t="shared" si="10"/>
        <v>0.25168176518073371</v>
      </c>
      <c r="K50">
        <f>$M$44+G50*$M$45</f>
        <v>11374</v>
      </c>
      <c r="O50" s="1">
        <f t="shared" si="11"/>
        <v>10478.755870351211</v>
      </c>
      <c r="P50" s="2"/>
      <c r="Q50">
        <f t="shared" si="12"/>
        <v>6</v>
      </c>
      <c r="R50">
        <f t="shared" si="13"/>
        <v>11374</v>
      </c>
      <c r="T50" s="1"/>
      <c r="U50" s="1">
        <f t="shared" si="14"/>
        <v>11374</v>
      </c>
      <c r="V50" s="2">
        <f t="shared" si="15"/>
        <v>0</v>
      </c>
    </row>
    <row r="51" spans="1:22" x14ac:dyDescent="0.25">
      <c r="A51">
        <v>7</v>
      </c>
      <c r="B51">
        <f t="shared" si="6"/>
        <v>0.84509804001425681</v>
      </c>
      <c r="D51">
        <v>16246</v>
      </c>
      <c r="E51">
        <f t="shared" si="7"/>
        <v>0.36429276168266211</v>
      </c>
      <c r="F51">
        <f t="shared" si="8"/>
        <v>4.2107464488983259</v>
      </c>
      <c r="G51">
        <f>(D51-$M$44)/$M$45</f>
        <v>0.56477192982456137</v>
      </c>
      <c r="H51">
        <f t="shared" si="9"/>
        <v>0.57003508771929823</v>
      </c>
      <c r="J51">
        <f t="shared" si="10"/>
        <v>0.3609292313211947</v>
      </c>
      <c r="K51">
        <f>$M$44+G51*$M$45</f>
        <v>16245.999999999998</v>
      </c>
      <c r="O51" s="1">
        <f t="shared" si="11"/>
        <v>15099.884101215204</v>
      </c>
      <c r="P51" s="2"/>
      <c r="Q51">
        <f t="shared" si="12"/>
        <v>7</v>
      </c>
      <c r="R51">
        <f t="shared" si="13"/>
        <v>16246</v>
      </c>
      <c r="T51" s="1"/>
      <c r="U51" s="1">
        <f t="shared" si="14"/>
        <v>16246</v>
      </c>
      <c r="V51" s="2">
        <f t="shared" si="15"/>
        <v>0</v>
      </c>
    </row>
    <row r="52" spans="1:22" x14ac:dyDescent="0.25">
      <c r="A52">
        <v>8</v>
      </c>
      <c r="B52">
        <f t="shared" si="6"/>
        <v>0.90308998699194354</v>
      </c>
      <c r="D52">
        <v>22005</v>
      </c>
      <c r="E52">
        <f t="shared" si="7"/>
        <v>0.493429904027267</v>
      </c>
      <c r="F52">
        <f t="shared" si="8"/>
        <v>4.3425213728989638</v>
      </c>
      <c r="G52">
        <f>(D52-$M$44)/$M$45</f>
        <v>0.76684210526315788</v>
      </c>
      <c r="H52">
        <f t="shared" si="9"/>
        <v>0.77210526315789474</v>
      </c>
      <c r="J52">
        <f t="shared" si="10"/>
        <v>0.49006637366579964</v>
      </c>
      <c r="K52">
        <f>$M$44+G52*$M$45</f>
        <v>22005</v>
      </c>
      <c r="O52" s="1">
        <f t="shared" si="11"/>
        <v>20721.182140885001</v>
      </c>
      <c r="P52" s="2"/>
      <c r="Q52">
        <f t="shared" si="12"/>
        <v>8</v>
      </c>
      <c r="R52">
        <f t="shared" si="13"/>
        <v>22005</v>
      </c>
      <c r="T52" s="1"/>
      <c r="U52" s="1">
        <f t="shared" si="14"/>
        <v>22005</v>
      </c>
      <c r="V52" s="2">
        <f t="shared" si="15"/>
        <v>0</v>
      </c>
    </row>
    <row r="53" spans="1:22" x14ac:dyDescent="0.25">
      <c r="A53">
        <v>9</v>
      </c>
      <c r="B53">
        <f t="shared" si="6"/>
        <v>0.95424250943932487</v>
      </c>
      <c r="D53">
        <v>28650</v>
      </c>
      <c r="E53">
        <f t="shared" si="7"/>
        <v>0.64243429904027272</v>
      </c>
      <c r="F53">
        <f t="shared" si="8"/>
        <v>4.4571246263034086</v>
      </c>
      <c r="G53">
        <f>(D53-$M$44)/$M$45</f>
        <v>1</v>
      </c>
      <c r="H53">
        <f t="shared" si="9"/>
        <v>1.0052631578947369</v>
      </c>
      <c r="J53">
        <f t="shared" si="10"/>
        <v>0.6390707686788053</v>
      </c>
      <c r="K53">
        <f>$M$44+G53*$M$45</f>
        <v>28650</v>
      </c>
      <c r="O53" s="1">
        <f t="shared" si="11"/>
        <v>27393.404244185942</v>
      </c>
      <c r="P53" s="2"/>
      <c r="Q53">
        <f t="shared" si="12"/>
        <v>9</v>
      </c>
      <c r="R53">
        <f t="shared" si="13"/>
        <v>28650</v>
      </c>
      <c r="T53" s="1"/>
      <c r="U53" s="1">
        <f t="shared" si="14"/>
        <v>28650</v>
      </c>
      <c r="V53" s="2">
        <f t="shared" si="15"/>
        <v>0</v>
      </c>
    </row>
    <row r="54" spans="1:22" x14ac:dyDescent="0.25">
      <c r="A54">
        <v>10</v>
      </c>
      <c r="B54">
        <f t="shared" si="6"/>
        <v>1</v>
      </c>
      <c r="D54">
        <v>36180</v>
      </c>
      <c r="E54">
        <f t="shared" si="7"/>
        <v>0.811283523185936</v>
      </c>
      <c r="F54">
        <f t="shared" si="8"/>
        <v>4.5584685625237951</v>
      </c>
      <c r="G54">
        <f>(D54-$M$44)/$M$45</f>
        <v>1.2642105263157895</v>
      </c>
      <c r="H54">
        <f t="shared" si="9"/>
        <v>1.2694736842105263</v>
      </c>
      <c r="J54">
        <f t="shared" si="10"/>
        <v>0.80791999282446858</v>
      </c>
      <c r="K54">
        <f>$M$44+G54*$M$45</f>
        <v>36180</v>
      </c>
      <c r="O54" s="1">
        <f t="shared" si="11"/>
        <v>35163.432229798847</v>
      </c>
      <c r="P54" s="2"/>
      <c r="Q54">
        <f t="shared" si="12"/>
        <v>10</v>
      </c>
      <c r="R54">
        <f t="shared" si="13"/>
        <v>36180</v>
      </c>
      <c r="T54" s="1"/>
      <c r="U54" s="1">
        <f t="shared" si="14"/>
        <v>36180</v>
      </c>
      <c r="V54" s="2">
        <f t="shared" si="15"/>
        <v>0</v>
      </c>
    </row>
    <row r="55" spans="1:22" x14ac:dyDescent="0.25">
      <c r="A55">
        <v>11</v>
      </c>
      <c r="B55">
        <f t="shared" si="6"/>
        <v>1.0413926851582251</v>
      </c>
      <c r="D55">
        <v>44596</v>
      </c>
      <c r="E55">
        <f t="shared" si="7"/>
        <v>1</v>
      </c>
      <c r="F55">
        <f t="shared" si="8"/>
        <v>4.6492959067876436</v>
      </c>
      <c r="G55">
        <f>(D55-$M$44)/$M$45</f>
        <v>1.5595087719298246</v>
      </c>
      <c r="H55">
        <f t="shared" si="9"/>
        <v>1.5647719298245615</v>
      </c>
      <c r="J55">
        <f t="shared" si="10"/>
        <v>0.99663646963853258</v>
      </c>
      <c r="K55">
        <f>$M$44+G55*$M$45</f>
        <v>44596</v>
      </c>
      <c r="O55" s="1">
        <f t="shared" si="11"/>
        <v>44074.959599212918</v>
      </c>
      <c r="P55" s="2"/>
      <c r="Q55">
        <f t="shared" si="12"/>
        <v>11</v>
      </c>
      <c r="R55">
        <f t="shared" si="13"/>
        <v>44596</v>
      </c>
      <c r="T55" s="1"/>
      <c r="U55" s="1">
        <f t="shared" si="14"/>
        <v>44596</v>
      </c>
      <c r="V55" s="2">
        <f t="shared" si="15"/>
        <v>0</v>
      </c>
    </row>
    <row r="56" spans="1:22" x14ac:dyDescent="0.25">
      <c r="A56">
        <v>12</v>
      </c>
      <c r="B56">
        <f t="shared" si="6"/>
        <v>1.0791812460476249</v>
      </c>
      <c r="D56">
        <f>2*M45</f>
        <v>57000</v>
      </c>
      <c r="E56">
        <f t="shared" si="7"/>
        <v>1.2781415373576106</v>
      </c>
      <c r="F56">
        <f t="shared" si="8"/>
        <v>4.7558748556724915</v>
      </c>
      <c r="G56">
        <f>(D56-$M$44)/$M$45</f>
        <v>1.9947368421052631</v>
      </c>
      <c r="H56">
        <f t="shared" si="9"/>
        <v>2</v>
      </c>
      <c r="J56">
        <f t="shared" si="10"/>
        <v>1.2747780069961432</v>
      </c>
      <c r="K56">
        <f>$M$44+G56*$M$45</f>
        <v>57000</v>
      </c>
      <c r="O56" s="1">
        <f t="shared" si="11"/>
        <v>54168.999242430524</v>
      </c>
      <c r="P56" s="2"/>
      <c r="Q56">
        <f t="shared" si="12"/>
        <v>12</v>
      </c>
      <c r="T56" s="1"/>
      <c r="U56" s="1">
        <f t="shared" si="14"/>
        <v>53899</v>
      </c>
      <c r="V56" s="2">
        <f t="shared" si="15"/>
        <v>53899</v>
      </c>
    </row>
    <row r="58" spans="1:22" x14ac:dyDescent="0.25">
      <c r="A58" t="s">
        <v>50</v>
      </c>
      <c r="C58" t="s">
        <v>51</v>
      </c>
      <c r="D58" t="s">
        <v>52</v>
      </c>
      <c r="L58" t="s">
        <v>53</v>
      </c>
      <c r="M58">
        <v>600</v>
      </c>
      <c r="Q58" t="s">
        <v>1</v>
      </c>
      <c r="R58" t="s">
        <v>0</v>
      </c>
      <c r="S58" t="s">
        <v>55</v>
      </c>
      <c r="T58" t="s">
        <v>56</v>
      </c>
    </row>
    <row r="59" spans="1:22" x14ac:dyDescent="0.25">
      <c r="A59">
        <v>1</v>
      </c>
      <c r="C59">
        <v>0</v>
      </c>
      <c r="D59">
        <v>600</v>
      </c>
      <c r="F59">
        <f>LOG10(D59)</f>
        <v>2.7781512503836434</v>
      </c>
      <c r="G59">
        <f>(D59-$M$58)/$M$59</f>
        <v>0</v>
      </c>
      <c r="H59">
        <f>D59/$M$59</f>
        <v>6.6666666666666671E-3</v>
      </c>
      <c r="J59">
        <f>(D59-$D$59)/$D$69</f>
        <v>0</v>
      </c>
      <c r="K59">
        <f>$M$58+G59*$M$59</f>
        <v>600</v>
      </c>
      <c r="L59" t="s">
        <v>54</v>
      </c>
      <c r="M59">
        <v>90000</v>
      </c>
      <c r="N59">
        <f>M59/M58</f>
        <v>150</v>
      </c>
      <c r="Q59">
        <f>A59</f>
        <v>1</v>
      </c>
      <c r="R59">
        <f>D59</f>
        <v>600</v>
      </c>
      <c r="S59">
        <f>M58</f>
        <v>600</v>
      </c>
      <c r="T59" s="1">
        <f>M59</f>
        <v>90000</v>
      </c>
      <c r="U59" s="1">
        <f>R59</f>
        <v>600</v>
      </c>
      <c r="V59" s="2">
        <f>U59-R59</f>
        <v>0</v>
      </c>
    </row>
    <row r="60" spans="1:22" x14ac:dyDescent="0.25">
      <c r="A60">
        <v>2</v>
      </c>
      <c r="D60">
        <v>2596</v>
      </c>
      <c r="E60">
        <f>D60/$D$59</f>
        <v>4.3266666666666671</v>
      </c>
      <c r="F60">
        <f t="shared" ref="F60:F70" si="16">LOG10(D60)</f>
        <v>3.4143046881283317</v>
      </c>
      <c r="G60">
        <f>(D60-$M$58)/$M$59</f>
        <v>2.2177777777777779E-2</v>
      </c>
      <c r="H60">
        <f t="shared" ref="H60:H70" si="17">D60/$M$59</f>
        <v>2.8844444444444443E-2</v>
      </c>
      <c r="J60">
        <f t="shared" ref="J60:J70" si="18">(D60-$D$59)/$D$69</f>
        <v>1.4167382370268371E-2</v>
      </c>
      <c r="K60">
        <f t="shared" ref="K60:K70" si="19">$M$58+G60*$M$59</f>
        <v>2596</v>
      </c>
      <c r="Q60">
        <f t="shared" ref="Q60:Q70" si="20">A60</f>
        <v>2</v>
      </c>
      <c r="R60">
        <f t="shared" ref="R60:R69" si="21">D60</f>
        <v>2596</v>
      </c>
      <c r="T60" s="1"/>
      <c r="U60" s="1">
        <f>ROUNDDOWN(2*$S$59+(Q60-1)^2/64*($T$59-$S$59),0)</f>
        <v>2596</v>
      </c>
      <c r="V60" s="2">
        <f t="shared" ref="V60:V70" si="22">U60-R60</f>
        <v>0</v>
      </c>
    </row>
    <row r="61" spans="1:22" x14ac:dyDescent="0.25">
      <c r="A61">
        <v>3</v>
      </c>
      <c r="D61">
        <v>6787</v>
      </c>
      <c r="E61">
        <f t="shared" ref="E61:E70" si="23">D61/$D$59</f>
        <v>11.311666666666667</v>
      </c>
      <c r="F61">
        <f t="shared" si="16"/>
        <v>3.8316778491914669</v>
      </c>
      <c r="G61">
        <f>(D61-$M$58)/$M$59</f>
        <v>6.8744444444444441E-2</v>
      </c>
      <c r="H61">
        <f t="shared" si="17"/>
        <v>7.5411111111111109E-2</v>
      </c>
      <c r="J61">
        <f t="shared" si="18"/>
        <v>4.3914626615656517E-2</v>
      </c>
      <c r="K61">
        <f t="shared" si="19"/>
        <v>6787</v>
      </c>
      <c r="Q61">
        <f t="shared" si="20"/>
        <v>3</v>
      </c>
      <c r="R61">
        <f t="shared" si="21"/>
        <v>6787</v>
      </c>
      <c r="T61" s="1"/>
      <c r="U61" s="1">
        <f t="shared" ref="U61:U70" si="24">ROUNDDOWN(2*$S$59+(Q61-1)^2/64*($T$59-$S$59),0)</f>
        <v>6787</v>
      </c>
      <c r="V61" s="2">
        <f t="shared" si="22"/>
        <v>0</v>
      </c>
    </row>
    <row r="62" spans="1:22" x14ac:dyDescent="0.25">
      <c r="A62">
        <v>4</v>
      </c>
      <c r="D62">
        <v>13771</v>
      </c>
      <c r="E62">
        <f t="shared" si="23"/>
        <v>22.951666666666668</v>
      </c>
      <c r="F62">
        <f t="shared" si="16"/>
        <v>4.1389654782898271</v>
      </c>
      <c r="G62">
        <f>(D62-$M$58)/$M$59</f>
        <v>0.14634444444444444</v>
      </c>
      <c r="H62">
        <f t="shared" si="17"/>
        <v>0.1530111111111111</v>
      </c>
      <c r="J62">
        <f t="shared" si="18"/>
        <v>9.3486269137677713E-2</v>
      </c>
      <c r="K62">
        <f t="shared" si="19"/>
        <v>13771</v>
      </c>
      <c r="Q62">
        <f t="shared" si="20"/>
        <v>4</v>
      </c>
      <c r="R62">
        <f t="shared" si="21"/>
        <v>13771</v>
      </c>
      <c r="T62" s="1"/>
      <c r="U62" s="1">
        <f t="shared" si="24"/>
        <v>13771</v>
      </c>
      <c r="V62" s="2">
        <f t="shared" si="22"/>
        <v>0</v>
      </c>
    </row>
    <row r="63" spans="1:22" x14ac:dyDescent="0.25">
      <c r="A63">
        <v>5</v>
      </c>
      <c r="D63">
        <v>23550</v>
      </c>
      <c r="E63">
        <f t="shared" si="23"/>
        <v>39.25</v>
      </c>
      <c r="F63">
        <f t="shared" si="16"/>
        <v>4.3719909114649154</v>
      </c>
      <c r="G63">
        <f>(D63-$M$58)/$M$59</f>
        <v>0.255</v>
      </c>
      <c r="H63">
        <f t="shared" si="17"/>
        <v>0.26166666666666666</v>
      </c>
      <c r="J63">
        <f t="shared" si="18"/>
        <v>0.16289650571025005</v>
      </c>
      <c r="K63">
        <f t="shared" si="19"/>
        <v>23550</v>
      </c>
      <c r="Q63">
        <f t="shared" si="20"/>
        <v>5</v>
      </c>
      <c r="R63">
        <f t="shared" si="21"/>
        <v>23550</v>
      </c>
      <c r="T63" s="1"/>
      <c r="U63" s="1">
        <f t="shared" si="24"/>
        <v>23550</v>
      </c>
      <c r="V63" s="2">
        <f t="shared" si="22"/>
        <v>0</v>
      </c>
    </row>
    <row r="64" spans="1:22" x14ac:dyDescent="0.25">
      <c r="A64">
        <v>6</v>
      </c>
      <c r="D64">
        <v>36121</v>
      </c>
      <c r="E64">
        <f t="shared" si="23"/>
        <v>60.201666666666668</v>
      </c>
      <c r="F64">
        <f t="shared" si="16"/>
        <v>4.5577597651317836</v>
      </c>
      <c r="G64">
        <f>(D64-$M$58)/$M$59</f>
        <v>0.39467777777777779</v>
      </c>
      <c r="H64">
        <f t="shared" si="17"/>
        <v>0.40134444444444445</v>
      </c>
      <c r="J64">
        <f t="shared" si="18"/>
        <v>0.25212404267249638</v>
      </c>
      <c r="K64">
        <f t="shared" si="19"/>
        <v>36121</v>
      </c>
      <c r="Q64">
        <f t="shared" si="20"/>
        <v>6</v>
      </c>
      <c r="R64">
        <f t="shared" si="21"/>
        <v>36121</v>
      </c>
      <c r="T64" s="1"/>
      <c r="U64" s="1">
        <f t="shared" si="24"/>
        <v>36121</v>
      </c>
      <c r="V64" s="2">
        <f t="shared" si="22"/>
        <v>0</v>
      </c>
    </row>
    <row r="65" spans="1:22" x14ac:dyDescent="0.25">
      <c r="A65">
        <v>7</v>
      </c>
      <c r="D65">
        <v>51487</v>
      </c>
      <c r="E65">
        <f t="shared" si="23"/>
        <v>85.811666666666667</v>
      </c>
      <c r="F65">
        <f t="shared" si="16"/>
        <v>4.7116975874690565</v>
      </c>
      <c r="G65">
        <f>(D65-$M$58)/$M$59</f>
        <v>0.56541111111111109</v>
      </c>
      <c r="H65">
        <f t="shared" si="17"/>
        <v>0.5720777777777778</v>
      </c>
      <c r="J65">
        <f t="shared" si="18"/>
        <v>0.36119017368529388</v>
      </c>
      <c r="K65">
        <f t="shared" si="19"/>
        <v>51487</v>
      </c>
      <c r="Q65">
        <f t="shared" si="20"/>
        <v>7</v>
      </c>
      <c r="R65">
        <f t="shared" si="21"/>
        <v>51487</v>
      </c>
      <c r="T65" s="1"/>
      <c r="U65" s="1">
        <f t="shared" si="24"/>
        <v>51487</v>
      </c>
      <c r="V65" s="2">
        <f t="shared" si="22"/>
        <v>0</v>
      </c>
    </row>
    <row r="66" spans="1:22" x14ac:dyDescent="0.25">
      <c r="A66">
        <v>8</v>
      </c>
      <c r="D66">
        <v>69646</v>
      </c>
      <c r="E66">
        <f t="shared" si="23"/>
        <v>116.07666666666667</v>
      </c>
      <c r="F66">
        <f t="shared" si="16"/>
        <v>4.8428961785085454</v>
      </c>
      <c r="G66">
        <f>(D66-$M$58)/$M$59</f>
        <v>0.76717777777777774</v>
      </c>
      <c r="H66">
        <f t="shared" si="17"/>
        <v>0.77384444444444445</v>
      </c>
      <c r="J66">
        <f t="shared" si="18"/>
        <v>0.49008070297472445</v>
      </c>
      <c r="K66">
        <f t="shared" si="19"/>
        <v>69646</v>
      </c>
      <c r="Q66">
        <f t="shared" si="20"/>
        <v>8</v>
      </c>
      <c r="R66">
        <f t="shared" si="21"/>
        <v>69646</v>
      </c>
      <c r="T66" s="1"/>
      <c r="U66" s="1">
        <f t="shared" si="24"/>
        <v>69646</v>
      </c>
      <c r="V66" s="2">
        <f t="shared" si="22"/>
        <v>0</v>
      </c>
    </row>
    <row r="67" spans="1:22" x14ac:dyDescent="0.25">
      <c r="A67">
        <v>9</v>
      </c>
      <c r="D67">
        <v>90600</v>
      </c>
      <c r="E67">
        <f t="shared" si="23"/>
        <v>151</v>
      </c>
      <c r="F67">
        <f t="shared" si="16"/>
        <v>4.9571281976768127</v>
      </c>
      <c r="G67">
        <f>(D67-$M$58)/$M$59</f>
        <v>1</v>
      </c>
      <c r="H67">
        <f t="shared" si="17"/>
        <v>1.0066666666666666</v>
      </c>
      <c r="J67">
        <f t="shared" si="18"/>
        <v>0.63880982631470606</v>
      </c>
      <c r="K67">
        <f t="shared" si="19"/>
        <v>90600</v>
      </c>
      <c r="Q67">
        <f t="shared" si="20"/>
        <v>9</v>
      </c>
      <c r="R67">
        <f t="shared" si="21"/>
        <v>90600</v>
      </c>
      <c r="T67" s="1"/>
      <c r="U67" s="1">
        <f t="shared" si="24"/>
        <v>90600</v>
      </c>
      <c r="V67" s="2">
        <f t="shared" si="22"/>
        <v>0</v>
      </c>
    </row>
    <row r="68" spans="1:22" x14ac:dyDescent="0.25">
      <c r="A68">
        <v>10</v>
      </c>
      <c r="D68">
        <v>114346</v>
      </c>
      <c r="E68">
        <f>D68/$D$59</f>
        <v>190.57666666666665</v>
      </c>
      <c r="F68">
        <f t="shared" si="16"/>
        <v>5.0582209769155542</v>
      </c>
      <c r="G68">
        <f>(D68-$M$58)/$M$59</f>
        <v>1.2638444444444445</v>
      </c>
      <c r="H68">
        <f t="shared" si="17"/>
        <v>1.2705111111111111</v>
      </c>
      <c r="J68">
        <f t="shared" si="18"/>
        <v>0.80735625004436185</v>
      </c>
      <c r="K68">
        <f t="shared" si="19"/>
        <v>114346.00000000001</v>
      </c>
      <c r="Q68">
        <f t="shared" si="20"/>
        <v>10</v>
      </c>
      <c r="R68">
        <f t="shared" si="21"/>
        <v>114346</v>
      </c>
      <c r="T68" s="1"/>
      <c r="U68" s="1">
        <f t="shared" si="24"/>
        <v>114346</v>
      </c>
      <c r="V68" s="2">
        <f t="shared" si="22"/>
        <v>0</v>
      </c>
    </row>
    <row r="69" spans="1:22" x14ac:dyDescent="0.25">
      <c r="A69">
        <v>11</v>
      </c>
      <c r="D69">
        <v>140887</v>
      </c>
      <c r="E69">
        <f t="shared" si="23"/>
        <v>234.81166666666667</v>
      </c>
      <c r="F69">
        <f t="shared" si="16"/>
        <v>5.1488709215072683</v>
      </c>
      <c r="G69">
        <f>(D69-$M$58)/$M$59</f>
        <v>1.5587444444444445</v>
      </c>
      <c r="H69">
        <f t="shared" si="17"/>
        <v>1.5654111111111111</v>
      </c>
      <c r="J69">
        <f t="shared" si="18"/>
        <v>0.99574126782456862</v>
      </c>
      <c r="K69">
        <f t="shared" si="19"/>
        <v>140887</v>
      </c>
      <c r="Q69">
        <f t="shared" si="20"/>
        <v>11</v>
      </c>
      <c r="R69">
        <f t="shared" si="21"/>
        <v>140887</v>
      </c>
      <c r="T69" s="1"/>
      <c r="U69" s="1">
        <f t="shared" si="24"/>
        <v>140887</v>
      </c>
      <c r="V69" s="2">
        <f t="shared" si="22"/>
        <v>0</v>
      </c>
    </row>
    <row r="70" spans="1:22" x14ac:dyDescent="0.25">
      <c r="A70">
        <v>12</v>
      </c>
      <c r="D70">
        <f>M59*2</f>
        <v>180000</v>
      </c>
      <c r="E70">
        <f t="shared" si="23"/>
        <v>300</v>
      </c>
      <c r="F70">
        <f t="shared" si="16"/>
        <v>5.2552725051033065</v>
      </c>
      <c r="G70">
        <f>(D70-$M$58)/$M$59</f>
        <v>1.9933333333333334</v>
      </c>
      <c r="H70">
        <f t="shared" si="17"/>
        <v>2</v>
      </c>
      <c r="J70">
        <f t="shared" si="18"/>
        <v>1.2733609204539809</v>
      </c>
      <c r="K70">
        <f t="shared" si="19"/>
        <v>180000</v>
      </c>
      <c r="Q70">
        <f t="shared" si="20"/>
        <v>12</v>
      </c>
      <c r="T70" s="1"/>
      <c r="U70" s="1">
        <f t="shared" si="24"/>
        <v>170221</v>
      </c>
      <c r="V70" s="2">
        <f t="shared" si="22"/>
        <v>170221</v>
      </c>
    </row>
    <row r="72" spans="1:22" x14ac:dyDescent="0.25">
      <c r="A72" t="s">
        <v>50</v>
      </c>
      <c r="C72" t="s">
        <v>51</v>
      </c>
      <c r="D72" t="s">
        <v>52</v>
      </c>
      <c r="L72" t="s">
        <v>53</v>
      </c>
      <c r="M72">
        <v>450</v>
      </c>
      <c r="Q72" t="s">
        <v>1</v>
      </c>
      <c r="R72" t="s">
        <v>0</v>
      </c>
      <c r="S72" t="s">
        <v>55</v>
      </c>
      <c r="T72" t="s">
        <v>56</v>
      </c>
    </row>
    <row r="73" spans="1:22" x14ac:dyDescent="0.25">
      <c r="A73">
        <v>1</v>
      </c>
      <c r="C73">
        <v>0</v>
      </c>
      <c r="D73">
        <v>450</v>
      </c>
      <c r="F73">
        <f>LOG10(D73)</f>
        <v>2.6532125137753435</v>
      </c>
      <c r="G73">
        <f>(D73-$M$72)/$M$73</f>
        <v>0</v>
      </c>
      <c r="H73">
        <f>D73/$M$73</f>
        <v>2.2499999999999998E-3</v>
      </c>
      <c r="J73">
        <f>(D73-$D$73)/$D$83</f>
        <v>0</v>
      </c>
      <c r="L73" t="s">
        <v>54</v>
      </c>
      <c r="M73">
        <v>200000</v>
      </c>
      <c r="N73">
        <f>M73/M72</f>
        <v>444.44444444444446</v>
      </c>
      <c r="Q73">
        <f>A73</f>
        <v>1</v>
      </c>
      <c r="R73">
        <f>D73</f>
        <v>450</v>
      </c>
      <c r="S73">
        <f>M72</f>
        <v>450</v>
      </c>
      <c r="T73" s="1">
        <f>M73</f>
        <v>200000</v>
      </c>
      <c r="U73" s="1">
        <f>R73</f>
        <v>450</v>
      </c>
      <c r="V73" s="2">
        <f>U73-R73</f>
        <v>0</v>
      </c>
    </row>
    <row r="74" spans="1:22" x14ac:dyDescent="0.25">
      <c r="A74">
        <v>2</v>
      </c>
      <c r="D74">
        <v>4017</v>
      </c>
      <c r="E74">
        <f>D74/$D$59</f>
        <v>6.6950000000000003</v>
      </c>
      <c r="F74">
        <f t="shared" ref="F74:F84" si="25">LOG10(D74)</f>
        <v>3.6039018317316716</v>
      </c>
      <c r="G74">
        <f t="shared" ref="G74:G84" si="26">(D74-$M$72)/$M$73</f>
        <v>1.7835E-2</v>
      </c>
      <c r="H74">
        <f t="shared" ref="H74:H84" si="27">D74/$M$73</f>
        <v>2.0084999999999999E-2</v>
      </c>
      <c r="J74">
        <f t="shared" ref="J74:J84" si="28">(D74-$D$73)/$D$83</f>
        <v>1.1407245375700361E-2</v>
      </c>
      <c r="Q74">
        <f t="shared" ref="Q74:Q83" si="29">A74</f>
        <v>2</v>
      </c>
      <c r="R74">
        <f t="shared" ref="R74:R83" si="30">D74</f>
        <v>4017</v>
      </c>
      <c r="T74" s="1"/>
      <c r="U74" s="1">
        <f>ROUNDDOWN(2*$S$73+(Q74-1)^2/64*($T$73-$S$73),0)</f>
        <v>4017</v>
      </c>
      <c r="V74" s="2">
        <f t="shared" ref="V74:V84" si="31">U74-R74</f>
        <v>0</v>
      </c>
    </row>
    <row r="75" spans="1:22" x14ac:dyDescent="0.25">
      <c r="A75">
        <v>3</v>
      </c>
      <c r="D75">
        <v>13371</v>
      </c>
      <c r="E75">
        <f t="shared" ref="E75:E84" si="32">D75/$D$59</f>
        <v>22.285</v>
      </c>
      <c r="F75">
        <f t="shared" si="25"/>
        <v>4.1261638888058387</v>
      </c>
      <c r="G75">
        <f t="shared" si="26"/>
        <v>6.4604999999999996E-2</v>
      </c>
      <c r="H75">
        <f t="shared" si="27"/>
        <v>6.6854999999999998E-2</v>
      </c>
      <c r="J75">
        <f t="shared" si="28"/>
        <v>4.1321283291119809E-2</v>
      </c>
      <c r="Q75">
        <f t="shared" si="29"/>
        <v>3</v>
      </c>
      <c r="R75">
        <f t="shared" si="30"/>
        <v>13371</v>
      </c>
      <c r="T75" s="1"/>
      <c r="U75" s="1">
        <f t="shared" ref="U75:U84" si="33">ROUNDDOWN(2*$S$73+(Q75-1)^2/64*($T$73-$S$73),0)</f>
        <v>13371</v>
      </c>
      <c r="V75" s="2">
        <f t="shared" si="31"/>
        <v>0</v>
      </c>
    </row>
    <row r="76" spans="1:22" x14ac:dyDescent="0.25">
      <c r="A76">
        <v>4</v>
      </c>
      <c r="D76">
        <v>28961</v>
      </c>
      <c r="E76">
        <f t="shared" si="32"/>
        <v>48.268333333333331</v>
      </c>
      <c r="F76">
        <f t="shared" si="25"/>
        <v>4.46181355362262</v>
      </c>
      <c r="G76">
        <f t="shared" si="26"/>
        <v>0.14255499999999999</v>
      </c>
      <c r="H76">
        <f t="shared" si="27"/>
        <v>0.14480499999999999</v>
      </c>
      <c r="J76">
        <f t="shared" si="28"/>
        <v>9.1178013150152226E-2</v>
      </c>
      <c r="Q76">
        <f t="shared" si="29"/>
        <v>4</v>
      </c>
      <c r="R76">
        <f t="shared" si="30"/>
        <v>28961</v>
      </c>
      <c r="T76" s="1"/>
      <c r="U76" s="1">
        <f t="shared" si="33"/>
        <v>28961</v>
      </c>
      <c r="V76" s="2">
        <f t="shared" si="31"/>
        <v>0</v>
      </c>
    </row>
    <row r="77" spans="1:22" x14ac:dyDescent="0.25">
      <c r="A77">
        <v>5</v>
      </c>
      <c r="D77">
        <v>50787</v>
      </c>
      <c r="E77">
        <f t="shared" si="32"/>
        <v>84.644999999999996</v>
      </c>
      <c r="F77">
        <f t="shared" si="25"/>
        <v>4.7057525597093663</v>
      </c>
      <c r="G77">
        <f t="shared" si="26"/>
        <v>0.25168499999999999</v>
      </c>
      <c r="H77">
        <f t="shared" si="27"/>
        <v>0.25393500000000002</v>
      </c>
      <c r="J77">
        <f t="shared" si="28"/>
        <v>0.16097743495279759</v>
      </c>
      <c r="Q77">
        <f t="shared" si="29"/>
        <v>5</v>
      </c>
      <c r="R77">
        <f t="shared" si="30"/>
        <v>50787</v>
      </c>
      <c r="T77" s="1"/>
      <c r="U77" s="1">
        <f t="shared" si="33"/>
        <v>50787</v>
      </c>
      <c r="V77" s="2">
        <f t="shared" si="31"/>
        <v>0</v>
      </c>
    </row>
    <row r="78" spans="1:22" x14ac:dyDescent="0.25">
      <c r="A78">
        <v>6</v>
      </c>
      <c r="D78">
        <v>78849</v>
      </c>
      <c r="E78">
        <f t="shared" si="32"/>
        <v>131.41499999999999</v>
      </c>
      <c r="F78">
        <f t="shared" si="25"/>
        <v>4.8967961897735348</v>
      </c>
      <c r="G78">
        <f t="shared" si="26"/>
        <v>0.39199499999999998</v>
      </c>
      <c r="H78">
        <f t="shared" si="27"/>
        <v>0.39424500000000001</v>
      </c>
      <c r="J78">
        <f t="shared" si="28"/>
        <v>0.25071954869905594</v>
      </c>
      <c r="Q78">
        <f t="shared" si="29"/>
        <v>6</v>
      </c>
      <c r="R78">
        <f t="shared" si="30"/>
        <v>78849</v>
      </c>
      <c r="T78" s="1"/>
      <c r="U78" s="1">
        <f t="shared" si="33"/>
        <v>78849</v>
      </c>
      <c r="V78" s="2">
        <f t="shared" si="31"/>
        <v>0</v>
      </c>
    </row>
    <row r="79" spans="1:22" x14ac:dyDescent="0.25">
      <c r="A79">
        <v>7</v>
      </c>
      <c r="D79">
        <v>113146</v>
      </c>
      <c r="E79">
        <f t="shared" si="32"/>
        <v>188.57666666666665</v>
      </c>
      <c r="F79">
        <f t="shared" si="25"/>
        <v>5.0536392051432966</v>
      </c>
      <c r="G79">
        <f t="shared" si="26"/>
        <v>0.56347999999999998</v>
      </c>
      <c r="H79">
        <f t="shared" si="27"/>
        <v>0.56572999999999996</v>
      </c>
      <c r="J79">
        <f t="shared" si="28"/>
        <v>0.36040115639470927</v>
      </c>
      <c r="Q79">
        <f t="shared" si="29"/>
        <v>7</v>
      </c>
      <c r="R79">
        <f t="shared" si="30"/>
        <v>113146</v>
      </c>
      <c r="T79" s="1"/>
      <c r="U79" s="1">
        <f t="shared" si="33"/>
        <v>113146</v>
      </c>
      <c r="V79" s="2">
        <f t="shared" si="31"/>
        <v>0</v>
      </c>
    </row>
    <row r="80" spans="1:22" x14ac:dyDescent="0.25">
      <c r="A80">
        <v>8</v>
      </c>
      <c r="D80">
        <v>153680</v>
      </c>
      <c r="E80">
        <f t="shared" si="32"/>
        <v>256.13333333333333</v>
      </c>
      <c r="F80">
        <f t="shared" si="25"/>
        <v>5.1866173518536369</v>
      </c>
      <c r="G80">
        <f t="shared" si="26"/>
        <v>0.76615</v>
      </c>
      <c r="H80">
        <f t="shared" si="27"/>
        <v>0.76839999999999997</v>
      </c>
      <c r="J80">
        <f t="shared" si="28"/>
        <v>0.49002865402819351</v>
      </c>
      <c r="Q80">
        <f t="shared" si="29"/>
        <v>8</v>
      </c>
      <c r="R80">
        <f t="shared" si="30"/>
        <v>153680</v>
      </c>
      <c r="T80" s="1"/>
      <c r="U80" s="1">
        <f t="shared" si="33"/>
        <v>153680</v>
      </c>
      <c r="V80" s="2">
        <f t="shared" si="31"/>
        <v>0</v>
      </c>
    </row>
    <row r="81" spans="1:22" x14ac:dyDescent="0.25">
      <c r="A81">
        <v>9</v>
      </c>
      <c r="D81">
        <v>200450</v>
      </c>
      <c r="E81">
        <f t="shared" si="32"/>
        <v>334.08333333333331</v>
      </c>
      <c r="F81">
        <f t="shared" si="25"/>
        <v>5.3020060605865407</v>
      </c>
      <c r="G81">
        <f t="shared" si="26"/>
        <v>1</v>
      </c>
      <c r="H81">
        <f t="shared" si="27"/>
        <v>1.0022500000000001</v>
      </c>
      <c r="J81">
        <f t="shared" si="28"/>
        <v>0.63959884360529073</v>
      </c>
      <c r="Q81">
        <f t="shared" si="29"/>
        <v>9</v>
      </c>
      <c r="R81">
        <f t="shared" si="30"/>
        <v>200450</v>
      </c>
      <c r="T81" s="1"/>
      <c r="U81" s="1">
        <f t="shared" si="33"/>
        <v>200450</v>
      </c>
      <c r="V81" s="2">
        <f t="shared" si="31"/>
        <v>0</v>
      </c>
    </row>
    <row r="82" spans="1:22" x14ac:dyDescent="0.25">
      <c r="A82">
        <v>10</v>
      </c>
      <c r="D82">
        <v>253455</v>
      </c>
      <c r="E82">
        <f>D82/$D$59</f>
        <v>422.42500000000001</v>
      </c>
      <c r="F82">
        <f t="shared" si="25"/>
        <v>5.4039008631308967</v>
      </c>
      <c r="G82">
        <f t="shared" si="26"/>
        <v>1.2650250000000001</v>
      </c>
      <c r="H82">
        <f t="shared" si="27"/>
        <v>1.2672749999999999</v>
      </c>
      <c r="J82">
        <f t="shared" si="28"/>
        <v>0.80910852713178294</v>
      </c>
      <c r="Q82">
        <f t="shared" si="29"/>
        <v>10</v>
      </c>
      <c r="R82">
        <f t="shared" si="30"/>
        <v>253455</v>
      </c>
      <c r="T82" s="1"/>
      <c r="U82" s="1">
        <f t="shared" si="33"/>
        <v>253455</v>
      </c>
      <c r="V82" s="2">
        <f t="shared" si="31"/>
        <v>0</v>
      </c>
    </row>
    <row r="83" spans="1:22" x14ac:dyDescent="0.25">
      <c r="A83">
        <v>11</v>
      </c>
      <c r="D83">
        <v>312696</v>
      </c>
      <c r="E83">
        <f t="shared" si="32"/>
        <v>521.16</v>
      </c>
      <c r="F83">
        <f t="shared" si="25"/>
        <v>5.4951223257934974</v>
      </c>
      <c r="G83">
        <f t="shared" si="26"/>
        <v>1.5612299999999999</v>
      </c>
      <c r="H83">
        <f t="shared" si="27"/>
        <v>1.56348</v>
      </c>
      <c r="J83">
        <f t="shared" si="28"/>
        <v>0.99856090260188812</v>
      </c>
      <c r="Q83">
        <f t="shared" si="29"/>
        <v>11</v>
      </c>
      <c r="R83">
        <f t="shared" si="30"/>
        <v>312696</v>
      </c>
      <c r="T83" s="1"/>
      <c r="U83" s="1">
        <f t="shared" si="33"/>
        <v>312696</v>
      </c>
      <c r="V83" s="2">
        <f t="shared" si="31"/>
        <v>0</v>
      </c>
    </row>
    <row r="84" spans="1:22" x14ac:dyDescent="0.25">
      <c r="A84">
        <v>12</v>
      </c>
      <c r="D84">
        <f>2*M73</f>
        <v>400000</v>
      </c>
      <c r="E84">
        <f t="shared" si="32"/>
        <v>666.66666666666663</v>
      </c>
      <c r="F84">
        <f t="shared" si="25"/>
        <v>5.6020599913279625</v>
      </c>
      <c r="G84">
        <f t="shared" si="26"/>
        <v>1.9977499999999999</v>
      </c>
      <c r="H84">
        <f t="shared" si="27"/>
        <v>2</v>
      </c>
      <c r="J84">
        <f t="shared" si="28"/>
        <v>1.2777585898124697</v>
      </c>
      <c r="Q84">
        <v>12</v>
      </c>
      <c r="U84" s="1">
        <f t="shared" si="33"/>
        <v>378174</v>
      </c>
      <c r="V84" s="2">
        <f t="shared" si="31"/>
        <v>378174</v>
      </c>
    </row>
    <row r="86" spans="1:22" x14ac:dyDescent="0.25">
      <c r="A86" t="s">
        <v>50</v>
      </c>
      <c r="C86" t="s">
        <v>51</v>
      </c>
      <c r="D86" t="s">
        <v>52</v>
      </c>
      <c r="L86" t="s">
        <v>53</v>
      </c>
      <c r="M86">
        <v>400</v>
      </c>
      <c r="Q86" t="s">
        <v>1</v>
      </c>
      <c r="R86" t="s">
        <v>0</v>
      </c>
      <c r="S86" t="s">
        <v>55</v>
      </c>
      <c r="T86" t="s">
        <v>56</v>
      </c>
    </row>
    <row r="87" spans="1:22" x14ac:dyDescent="0.25">
      <c r="A87">
        <v>1</v>
      </c>
      <c r="C87">
        <v>0</v>
      </c>
      <c r="D87">
        <v>400</v>
      </c>
      <c r="F87">
        <f>LOG10(D87)</f>
        <v>2.6020599913279625</v>
      </c>
      <c r="G87">
        <f>(D87-$M$72)/$M$73</f>
        <v>-2.5000000000000001E-4</v>
      </c>
      <c r="H87">
        <f>D87/$M$73</f>
        <v>2E-3</v>
      </c>
      <c r="J87">
        <f>(D87-$D$73)/$D$83</f>
        <v>-1.5989971090132269E-4</v>
      </c>
      <c r="L87" t="s">
        <v>54</v>
      </c>
      <c r="M87">
        <v>80000</v>
      </c>
      <c r="N87">
        <f>M87/M86</f>
        <v>200</v>
      </c>
      <c r="Q87">
        <f>A87</f>
        <v>1</v>
      </c>
      <c r="R87">
        <f>D87</f>
        <v>400</v>
      </c>
      <c r="S87">
        <f>M86</f>
        <v>400</v>
      </c>
      <c r="T87" s="1">
        <f>M87</f>
        <v>80000</v>
      </c>
      <c r="U87" s="1">
        <f>R87</f>
        <v>400</v>
      </c>
      <c r="V87" s="2">
        <f>U87-R87</f>
        <v>0</v>
      </c>
    </row>
    <row r="88" spans="1:22" x14ac:dyDescent="0.25">
      <c r="A88">
        <v>2</v>
      </c>
      <c r="D88">
        <v>2043</v>
      </c>
      <c r="E88">
        <f>D88/$D$59</f>
        <v>3.4049999999999998</v>
      </c>
      <c r="F88">
        <f t="shared" ref="F88:F98" si="34">LOG10(D88)</f>
        <v>3.3102683666324477</v>
      </c>
      <c r="G88">
        <f t="shared" ref="G88:G98" si="35">(D88-$M$72)/$M$73</f>
        <v>7.9649999999999999E-3</v>
      </c>
      <c r="H88">
        <f t="shared" ref="H88:H98" si="36">D88/$M$73</f>
        <v>1.0215E-2</v>
      </c>
      <c r="J88">
        <f t="shared" ref="J88:J98" si="37">(D88-$D$73)/$D$83</f>
        <v>5.0944047893161405E-3</v>
      </c>
      <c r="Q88">
        <f t="shared" ref="Q88:Q97" si="38">A88</f>
        <v>2</v>
      </c>
      <c r="R88">
        <f t="shared" ref="R88:R97" si="39">D88</f>
        <v>2043</v>
      </c>
      <c r="T88" s="1"/>
      <c r="U88" s="1">
        <f>ROUNDDOWN(2*$S$87+(Q88-1)^2/64*($T$87-$S$87),0)</f>
        <v>2043</v>
      </c>
      <c r="V88" s="2">
        <f t="shared" ref="V88:V98" si="40">U88-R88</f>
        <v>0</v>
      </c>
    </row>
    <row r="89" spans="1:22" x14ac:dyDescent="0.25">
      <c r="A89">
        <v>3</v>
      </c>
      <c r="D89">
        <v>5775</v>
      </c>
      <c r="E89">
        <f t="shared" ref="E89:E98" si="41">D89/$D$59</f>
        <v>9.625</v>
      </c>
      <c r="F89">
        <f t="shared" si="34"/>
        <v>3.7615519885641819</v>
      </c>
      <c r="G89">
        <f t="shared" si="35"/>
        <v>2.6624999999999999E-2</v>
      </c>
      <c r="H89">
        <f t="shared" si="36"/>
        <v>2.8875000000000001E-2</v>
      </c>
      <c r="J89">
        <f t="shared" si="37"/>
        <v>1.7029319210990868E-2</v>
      </c>
      <c r="Q89">
        <f t="shared" si="38"/>
        <v>3</v>
      </c>
      <c r="R89">
        <f t="shared" si="39"/>
        <v>5775</v>
      </c>
      <c r="T89" s="1"/>
      <c r="U89" s="1">
        <f t="shared" ref="U89:U98" si="42">ROUNDDOWN(2*$S$87+(Q89-1)^2/64*($T$87-$S$87),0)</f>
        <v>5775</v>
      </c>
      <c r="V89" s="2">
        <f t="shared" si="40"/>
        <v>0</v>
      </c>
    </row>
    <row r="90" spans="1:22" x14ac:dyDescent="0.25">
      <c r="A90">
        <v>4</v>
      </c>
      <c r="D90">
        <v>11993</v>
      </c>
      <c r="E90">
        <f t="shared" si="41"/>
        <v>19.988333333333333</v>
      </c>
      <c r="F90">
        <f t="shared" si="34"/>
        <v>4.0789278336807193</v>
      </c>
      <c r="G90">
        <f t="shared" si="35"/>
        <v>5.7715000000000002E-2</v>
      </c>
      <c r="H90">
        <f t="shared" si="36"/>
        <v>5.9964999999999997E-2</v>
      </c>
      <c r="J90">
        <f t="shared" si="37"/>
        <v>3.6914447258679359E-2</v>
      </c>
      <c r="Q90">
        <f t="shared" si="38"/>
        <v>4</v>
      </c>
      <c r="R90">
        <f t="shared" si="39"/>
        <v>11993</v>
      </c>
      <c r="T90" s="1"/>
      <c r="U90" s="1">
        <f t="shared" si="42"/>
        <v>11993</v>
      </c>
      <c r="V90" s="2">
        <f t="shared" si="40"/>
        <v>0</v>
      </c>
    </row>
    <row r="91" spans="1:22" x14ac:dyDescent="0.25">
      <c r="A91">
        <v>5</v>
      </c>
      <c r="D91">
        <v>20700</v>
      </c>
      <c r="E91">
        <f t="shared" si="41"/>
        <v>34.5</v>
      </c>
      <c r="F91">
        <f t="shared" si="34"/>
        <v>4.3159703454569174</v>
      </c>
      <c r="G91">
        <f t="shared" si="35"/>
        <v>0.10125000000000001</v>
      </c>
      <c r="H91">
        <f t="shared" si="36"/>
        <v>0.10349999999999999</v>
      </c>
      <c r="J91">
        <f t="shared" si="37"/>
        <v>6.475938291503569E-2</v>
      </c>
      <c r="Q91">
        <f t="shared" si="38"/>
        <v>5</v>
      </c>
      <c r="R91">
        <f t="shared" si="39"/>
        <v>20700</v>
      </c>
      <c r="T91" s="1"/>
      <c r="U91" s="1">
        <f t="shared" si="42"/>
        <v>20700</v>
      </c>
      <c r="V91" s="2">
        <f t="shared" si="40"/>
        <v>0</v>
      </c>
    </row>
    <row r="92" spans="1:22" x14ac:dyDescent="0.25">
      <c r="A92">
        <v>6</v>
      </c>
      <c r="D92">
        <v>31893</v>
      </c>
      <c r="E92">
        <f t="shared" si="41"/>
        <v>53.155000000000001</v>
      </c>
      <c r="F92">
        <f t="shared" si="34"/>
        <v>4.5036953728699967</v>
      </c>
      <c r="G92">
        <f t="shared" si="35"/>
        <v>0.15721499999999999</v>
      </c>
      <c r="H92">
        <f t="shared" si="36"/>
        <v>0.159465</v>
      </c>
      <c r="J92">
        <f t="shared" si="37"/>
        <v>0.10055453219740579</v>
      </c>
      <c r="Q92">
        <f t="shared" si="38"/>
        <v>6</v>
      </c>
      <c r="R92">
        <f t="shared" si="39"/>
        <v>31893</v>
      </c>
      <c r="T92" s="1"/>
      <c r="U92" s="1">
        <f t="shared" si="42"/>
        <v>31893</v>
      </c>
      <c r="V92" s="2">
        <f t="shared" si="40"/>
        <v>0</v>
      </c>
    </row>
    <row r="93" spans="1:22" x14ac:dyDescent="0.25">
      <c r="A93">
        <v>7</v>
      </c>
      <c r="D93">
        <v>45575</v>
      </c>
      <c r="E93">
        <f t="shared" si="41"/>
        <v>75.958333333333329</v>
      </c>
      <c r="F93">
        <f t="shared" si="34"/>
        <v>4.6587266773270137</v>
      </c>
      <c r="G93">
        <f t="shared" si="35"/>
        <v>0.22562499999999999</v>
      </c>
      <c r="H93">
        <f t="shared" si="36"/>
        <v>0.22787499999999999</v>
      </c>
      <c r="J93">
        <f t="shared" si="37"/>
        <v>0.14430948908844374</v>
      </c>
      <c r="Q93">
        <f t="shared" si="38"/>
        <v>7</v>
      </c>
      <c r="R93">
        <f t="shared" si="39"/>
        <v>45575</v>
      </c>
      <c r="T93" s="1"/>
      <c r="U93" s="1">
        <f t="shared" si="42"/>
        <v>45575</v>
      </c>
      <c r="V93" s="2">
        <f t="shared" si="40"/>
        <v>0</v>
      </c>
    </row>
    <row r="94" spans="1:22" x14ac:dyDescent="0.25">
      <c r="A94">
        <v>8</v>
      </c>
      <c r="D94">
        <v>61743</v>
      </c>
      <c r="E94">
        <f t="shared" si="41"/>
        <v>102.905</v>
      </c>
      <c r="F94">
        <f t="shared" si="34"/>
        <v>4.790587727377897</v>
      </c>
      <c r="G94">
        <f t="shared" si="35"/>
        <v>0.30646499999999999</v>
      </c>
      <c r="H94">
        <f t="shared" si="36"/>
        <v>0.30871500000000002</v>
      </c>
      <c r="J94">
        <f t="shared" si="37"/>
        <v>0.19601465960549544</v>
      </c>
      <c r="Q94">
        <f t="shared" si="38"/>
        <v>8</v>
      </c>
      <c r="R94">
        <f t="shared" si="39"/>
        <v>61743</v>
      </c>
      <c r="T94" s="1"/>
      <c r="U94" s="1">
        <f t="shared" si="42"/>
        <v>61743</v>
      </c>
      <c r="V94" s="2">
        <f t="shared" si="40"/>
        <v>0</v>
      </c>
    </row>
    <row r="95" spans="1:22" x14ac:dyDescent="0.25">
      <c r="A95">
        <v>9</v>
      </c>
      <c r="D95">
        <v>80400</v>
      </c>
      <c r="E95">
        <f t="shared" si="41"/>
        <v>134</v>
      </c>
      <c r="F95">
        <f t="shared" si="34"/>
        <v>4.9052560487484511</v>
      </c>
      <c r="G95">
        <f t="shared" si="35"/>
        <v>0.39974999999999999</v>
      </c>
      <c r="H95">
        <f t="shared" si="36"/>
        <v>0.40200000000000002</v>
      </c>
      <c r="J95">
        <f t="shared" si="37"/>
        <v>0.25567963773121499</v>
      </c>
      <c r="Q95">
        <f t="shared" si="38"/>
        <v>9</v>
      </c>
      <c r="R95">
        <f t="shared" si="39"/>
        <v>80400</v>
      </c>
      <c r="T95" s="1"/>
      <c r="U95" s="1">
        <f t="shared" si="42"/>
        <v>80400</v>
      </c>
      <c r="V95" s="2">
        <f t="shared" si="40"/>
        <v>0</v>
      </c>
    </row>
    <row r="96" spans="1:22" x14ac:dyDescent="0.25">
      <c r="A96">
        <v>10</v>
      </c>
      <c r="D96">
        <v>101543</v>
      </c>
      <c r="E96">
        <f>D96/$D$59</f>
        <v>169.23833333333334</v>
      </c>
      <c r="F96">
        <f t="shared" si="34"/>
        <v>5.0066499901125026</v>
      </c>
      <c r="G96">
        <f t="shared" si="35"/>
        <v>0.50546500000000005</v>
      </c>
      <c r="H96">
        <f t="shared" si="36"/>
        <v>0.50771500000000003</v>
      </c>
      <c r="J96">
        <f t="shared" si="37"/>
        <v>0.3232948294829483</v>
      </c>
      <c r="Q96">
        <f t="shared" si="38"/>
        <v>10</v>
      </c>
      <c r="R96">
        <f t="shared" si="39"/>
        <v>101543</v>
      </c>
      <c r="T96" s="1"/>
      <c r="U96" s="1">
        <f t="shared" si="42"/>
        <v>101543</v>
      </c>
      <c r="V96" s="2">
        <f t="shared" si="40"/>
        <v>0</v>
      </c>
    </row>
    <row r="97" spans="1:22" x14ac:dyDescent="0.25">
      <c r="A97">
        <v>11</v>
      </c>
      <c r="D97">
        <v>125175</v>
      </c>
      <c r="E97">
        <f t="shared" si="41"/>
        <v>208.625</v>
      </c>
      <c r="F97">
        <f t="shared" si="34"/>
        <v>5.0975176000709466</v>
      </c>
      <c r="G97">
        <f t="shared" si="35"/>
        <v>0.62362499999999998</v>
      </c>
      <c r="H97">
        <f t="shared" si="36"/>
        <v>0.62587499999999996</v>
      </c>
      <c r="J97">
        <f t="shared" si="37"/>
        <v>0.39886982884334943</v>
      </c>
      <c r="Q97">
        <f t="shared" si="38"/>
        <v>11</v>
      </c>
      <c r="R97">
        <f t="shared" si="39"/>
        <v>125175</v>
      </c>
      <c r="T97" s="1"/>
      <c r="U97" s="1">
        <f t="shared" si="42"/>
        <v>125175</v>
      </c>
      <c r="V97" s="2">
        <f t="shared" si="40"/>
        <v>0</v>
      </c>
    </row>
    <row r="98" spans="1:22" x14ac:dyDescent="0.25">
      <c r="A98">
        <v>12</v>
      </c>
      <c r="E98">
        <f t="shared" si="41"/>
        <v>0</v>
      </c>
      <c r="F98" t="e">
        <f t="shared" si="34"/>
        <v>#NUM!</v>
      </c>
      <c r="G98">
        <f t="shared" si="35"/>
        <v>-2.2499999999999998E-3</v>
      </c>
      <c r="H98">
        <f t="shared" si="36"/>
        <v>0</v>
      </c>
      <c r="J98">
        <f t="shared" si="37"/>
        <v>-1.4390973981119042E-3</v>
      </c>
      <c r="Q98">
        <v>12</v>
      </c>
      <c r="U98" s="1">
        <f t="shared" si="42"/>
        <v>151293</v>
      </c>
      <c r="V98" s="2">
        <f t="shared" si="40"/>
        <v>151293</v>
      </c>
    </row>
    <row r="100" spans="1:22" x14ac:dyDescent="0.25">
      <c r="A100" t="s">
        <v>50</v>
      </c>
      <c r="C100" t="s">
        <v>51</v>
      </c>
      <c r="D100" t="s">
        <v>52</v>
      </c>
      <c r="L100" t="s">
        <v>53</v>
      </c>
      <c r="M100">
        <v>900</v>
      </c>
      <c r="Q100" t="s">
        <v>1</v>
      </c>
      <c r="R100" t="s">
        <v>0</v>
      </c>
      <c r="S100" t="s">
        <v>55</v>
      </c>
      <c r="T100" t="s">
        <v>56</v>
      </c>
    </row>
    <row r="101" spans="1:22" x14ac:dyDescent="0.25">
      <c r="A101">
        <v>1</v>
      </c>
      <c r="C101">
        <v>0</v>
      </c>
      <c r="D101">
        <v>900</v>
      </c>
      <c r="F101">
        <f>LOG10(D101)</f>
        <v>2.9542425094393248</v>
      </c>
      <c r="G101">
        <f>(D101-$M$72)/$M$73</f>
        <v>2.2499999999999998E-3</v>
      </c>
      <c r="H101">
        <f>D101/$M$73</f>
        <v>4.4999999999999997E-3</v>
      </c>
      <c r="J101">
        <f>(D101-$D$73)/$D$83</f>
        <v>1.4390973981119042E-3</v>
      </c>
      <c r="L101" t="s">
        <v>54</v>
      </c>
      <c r="M101">
        <v>370000</v>
      </c>
      <c r="N101">
        <f>M101/M100</f>
        <v>411.11111111111109</v>
      </c>
      <c r="Q101">
        <f>A101</f>
        <v>1</v>
      </c>
      <c r="R101">
        <f>D101</f>
        <v>900</v>
      </c>
      <c r="S101">
        <f>M100</f>
        <v>900</v>
      </c>
      <c r="T101" s="1">
        <f>M101</f>
        <v>370000</v>
      </c>
      <c r="U101" s="1">
        <f>R101</f>
        <v>900</v>
      </c>
      <c r="V101" s="2">
        <f>U101-R101</f>
        <v>0</v>
      </c>
    </row>
    <row r="102" spans="1:22" x14ac:dyDescent="0.25">
      <c r="A102">
        <v>2</v>
      </c>
      <c r="D102">
        <v>7567</v>
      </c>
      <c r="E102">
        <f>D102/$D$59</f>
        <v>12.611666666666666</v>
      </c>
      <c r="F102">
        <f t="shared" ref="F102:F112" si="43">LOG10(D102)</f>
        <v>3.8789237339675671</v>
      </c>
      <c r="G102">
        <f t="shared" ref="G102:G112" si="44">(D102-$M$72)/$M$73</f>
        <v>3.5584999999999999E-2</v>
      </c>
      <c r="H102">
        <f t="shared" ref="H102:H112" si="45">D102/$M$73</f>
        <v>3.7835000000000001E-2</v>
      </c>
      <c r="J102">
        <f t="shared" ref="J102:J112" si="46">(D102-$D$73)/$D$83</f>
        <v>2.2760124849694273E-2</v>
      </c>
      <c r="Q102">
        <f t="shared" ref="Q102:Q111" si="47">A102</f>
        <v>2</v>
      </c>
      <c r="R102">
        <f t="shared" ref="R102:R111" si="48">D102</f>
        <v>7567</v>
      </c>
      <c r="T102" s="1"/>
      <c r="U102" s="1">
        <f>ROUNDDOWN(2*$S$101+(Q102-1)^2/64*($T$101-$S$101),0)</f>
        <v>7567</v>
      </c>
      <c r="V102" s="2">
        <f t="shared" ref="V102:V112" si="49">U102-R102</f>
        <v>0</v>
      </c>
    </row>
    <row r="103" spans="1:22" x14ac:dyDescent="0.25">
      <c r="A103">
        <v>3</v>
      </c>
      <c r="D103">
        <v>24868</v>
      </c>
      <c r="E103">
        <f t="shared" ref="E103:E112" si="50">D103/$D$59</f>
        <v>41.446666666666665</v>
      </c>
      <c r="F103">
        <f t="shared" si="43"/>
        <v>4.395640858696118</v>
      </c>
      <c r="G103">
        <f t="shared" si="44"/>
        <v>0.12209</v>
      </c>
      <c r="H103">
        <f t="shared" si="45"/>
        <v>0.12434000000000001</v>
      </c>
      <c r="J103">
        <f t="shared" si="46"/>
        <v>7.8088622815769948E-2</v>
      </c>
      <c r="Q103">
        <f t="shared" si="47"/>
        <v>3</v>
      </c>
      <c r="R103">
        <f t="shared" si="48"/>
        <v>24868</v>
      </c>
      <c r="T103" s="1"/>
      <c r="U103" s="1">
        <f t="shared" ref="U103:U112" si="51">ROUNDDOWN(2*$S$101+(Q103-1)^2/64*($T$101-$S$101),0)</f>
        <v>24868</v>
      </c>
      <c r="V103" s="2">
        <f t="shared" si="49"/>
        <v>0</v>
      </c>
    </row>
    <row r="104" spans="1:22" x14ac:dyDescent="0.25">
      <c r="A104">
        <v>4</v>
      </c>
      <c r="D104">
        <v>53704</v>
      </c>
      <c r="E104">
        <f t="shared" si="50"/>
        <v>89.506666666666661</v>
      </c>
      <c r="F104">
        <f t="shared" si="43"/>
        <v>4.7300066341768643</v>
      </c>
      <c r="G104">
        <f t="shared" si="44"/>
        <v>0.26627000000000001</v>
      </c>
      <c r="H104">
        <f t="shared" si="45"/>
        <v>0.26851999999999998</v>
      </c>
      <c r="J104">
        <f t="shared" si="46"/>
        <v>0.17030598408678077</v>
      </c>
      <c r="Q104">
        <f t="shared" si="47"/>
        <v>4</v>
      </c>
      <c r="R104">
        <f t="shared" si="48"/>
        <v>53704</v>
      </c>
      <c r="T104" s="1"/>
      <c r="U104" s="1">
        <f t="shared" si="51"/>
        <v>53704</v>
      </c>
      <c r="V104" s="2">
        <f t="shared" si="49"/>
        <v>0</v>
      </c>
    </row>
    <row r="105" spans="1:22" x14ac:dyDescent="0.25">
      <c r="A105">
        <v>5</v>
      </c>
      <c r="D105">
        <v>94075</v>
      </c>
      <c r="E105">
        <f t="shared" si="50"/>
        <v>156.79166666666666</v>
      </c>
      <c r="F105">
        <f t="shared" si="43"/>
        <v>4.9734742269919021</v>
      </c>
      <c r="G105">
        <f t="shared" si="44"/>
        <v>0.46812500000000001</v>
      </c>
      <c r="H105">
        <f t="shared" si="45"/>
        <v>0.47037499999999999</v>
      </c>
      <c r="J105">
        <f t="shared" si="46"/>
        <v>0.29941220866272672</v>
      </c>
      <c r="Q105">
        <f t="shared" si="47"/>
        <v>5</v>
      </c>
      <c r="R105">
        <f t="shared" si="48"/>
        <v>94075</v>
      </c>
      <c r="T105" s="1"/>
      <c r="U105" s="1">
        <f t="shared" si="51"/>
        <v>94075</v>
      </c>
      <c r="V105" s="2">
        <f t="shared" si="49"/>
        <v>0</v>
      </c>
    </row>
    <row r="106" spans="1:22" x14ac:dyDescent="0.25">
      <c r="A106">
        <v>6</v>
      </c>
      <c r="D106">
        <v>145979</v>
      </c>
      <c r="E106">
        <f t="shared" si="50"/>
        <v>243.29833333333335</v>
      </c>
      <c r="F106">
        <f t="shared" si="43"/>
        <v>5.1642903842769954</v>
      </c>
      <c r="G106">
        <f t="shared" si="44"/>
        <v>0.72764499999999999</v>
      </c>
      <c r="H106">
        <f t="shared" si="45"/>
        <v>0.72989499999999996</v>
      </c>
      <c r="J106">
        <f t="shared" si="46"/>
        <v>0.4654009005551718</v>
      </c>
      <c r="Q106">
        <f t="shared" si="47"/>
        <v>6</v>
      </c>
      <c r="R106">
        <f t="shared" si="48"/>
        <v>145979</v>
      </c>
      <c r="T106" s="1"/>
      <c r="U106" s="1">
        <f t="shared" si="51"/>
        <v>145979</v>
      </c>
      <c r="V106" s="2">
        <f t="shared" si="49"/>
        <v>0</v>
      </c>
    </row>
    <row r="107" spans="1:22" x14ac:dyDescent="0.25">
      <c r="A107">
        <v>7</v>
      </c>
      <c r="D107">
        <v>209418</v>
      </c>
      <c r="E107">
        <f t="shared" si="50"/>
        <v>349.03</v>
      </c>
      <c r="F107">
        <f t="shared" si="43"/>
        <v>5.3210140076422805</v>
      </c>
      <c r="G107">
        <f t="shared" si="44"/>
        <v>1.04484</v>
      </c>
      <c r="H107">
        <f t="shared" si="45"/>
        <v>1.0470900000000001</v>
      </c>
      <c r="J107">
        <f t="shared" si="46"/>
        <v>0.66827845575255196</v>
      </c>
      <c r="Q107">
        <f t="shared" si="47"/>
        <v>7</v>
      </c>
      <c r="R107">
        <f t="shared" si="48"/>
        <v>209418</v>
      </c>
      <c r="T107" s="1"/>
      <c r="U107" s="1">
        <f t="shared" si="51"/>
        <v>209418</v>
      </c>
      <c r="V107" s="2">
        <f t="shared" si="49"/>
        <v>0</v>
      </c>
    </row>
    <row r="108" spans="1:22" x14ac:dyDescent="0.25">
      <c r="A108">
        <v>8</v>
      </c>
      <c r="D108">
        <v>284392</v>
      </c>
      <c r="E108">
        <f t="shared" si="50"/>
        <v>473.98666666666668</v>
      </c>
      <c r="F108">
        <f t="shared" si="43"/>
        <v>5.4539173754447825</v>
      </c>
      <c r="G108">
        <f t="shared" si="44"/>
        <v>1.41971</v>
      </c>
      <c r="H108">
        <f t="shared" si="45"/>
        <v>1.4219599999999999</v>
      </c>
      <c r="J108">
        <f t="shared" si="46"/>
        <v>0.90804487425486735</v>
      </c>
      <c r="Q108">
        <f t="shared" si="47"/>
        <v>8</v>
      </c>
      <c r="R108">
        <f t="shared" si="48"/>
        <v>284392</v>
      </c>
      <c r="T108" s="1"/>
      <c r="U108" s="1">
        <f t="shared" si="51"/>
        <v>284392</v>
      </c>
      <c r="V108" s="2">
        <f t="shared" si="49"/>
        <v>0</v>
      </c>
    </row>
    <row r="109" spans="1:22" x14ac:dyDescent="0.25">
      <c r="A109">
        <v>9</v>
      </c>
      <c r="D109">
        <v>370900</v>
      </c>
      <c r="E109">
        <f t="shared" si="50"/>
        <v>618.16666666666663</v>
      </c>
      <c r="F109">
        <f t="shared" si="43"/>
        <v>5.5692568333286099</v>
      </c>
      <c r="G109">
        <f t="shared" si="44"/>
        <v>1.85225</v>
      </c>
      <c r="H109">
        <f t="shared" si="45"/>
        <v>1.8545</v>
      </c>
      <c r="J109">
        <f t="shared" si="46"/>
        <v>1.1846969580678999</v>
      </c>
      <c r="Q109">
        <f t="shared" si="47"/>
        <v>9</v>
      </c>
      <c r="R109">
        <f t="shared" si="48"/>
        <v>370900</v>
      </c>
      <c r="T109" s="1"/>
      <c r="U109" s="1">
        <f t="shared" si="51"/>
        <v>370900</v>
      </c>
      <c r="V109" s="2">
        <f t="shared" si="49"/>
        <v>0</v>
      </c>
    </row>
    <row r="110" spans="1:22" x14ac:dyDescent="0.25">
      <c r="A110">
        <v>10</v>
      </c>
      <c r="D110">
        <v>468942</v>
      </c>
      <c r="E110">
        <f>D110/$D$59</f>
        <v>781.57</v>
      </c>
      <c r="F110">
        <f t="shared" si="43"/>
        <v>5.6711191313342466</v>
      </c>
      <c r="G110">
        <f t="shared" si="44"/>
        <v>2.34246</v>
      </c>
      <c r="H110">
        <f t="shared" si="45"/>
        <v>2.3447100000000001</v>
      </c>
      <c r="J110">
        <f t="shared" si="46"/>
        <v>1.4982347071916493</v>
      </c>
      <c r="Q110">
        <f t="shared" si="47"/>
        <v>10</v>
      </c>
      <c r="R110">
        <f t="shared" si="48"/>
        <v>468942</v>
      </c>
      <c r="T110" s="1"/>
      <c r="U110" s="1">
        <f t="shared" si="51"/>
        <v>468942</v>
      </c>
      <c r="V110" s="2">
        <f t="shared" si="49"/>
        <v>0</v>
      </c>
    </row>
    <row r="111" spans="1:22" x14ac:dyDescent="0.25">
      <c r="A111">
        <v>11</v>
      </c>
      <c r="D111">
        <v>578518</v>
      </c>
      <c r="E111">
        <f t="shared" si="50"/>
        <v>964.19666666666672</v>
      </c>
      <c r="F111">
        <f t="shared" si="43"/>
        <v>5.7623168761297032</v>
      </c>
      <c r="G111">
        <f t="shared" si="44"/>
        <v>2.8903400000000001</v>
      </c>
      <c r="H111">
        <f t="shared" si="45"/>
        <v>2.8925900000000002</v>
      </c>
      <c r="J111">
        <f t="shared" si="46"/>
        <v>1.8486581216261162</v>
      </c>
      <c r="Q111">
        <f t="shared" si="47"/>
        <v>11</v>
      </c>
      <c r="R111">
        <f t="shared" si="48"/>
        <v>578518</v>
      </c>
      <c r="T111" s="1"/>
      <c r="U111" s="1">
        <f t="shared" si="51"/>
        <v>578518</v>
      </c>
      <c r="V111" s="2">
        <f t="shared" si="49"/>
        <v>0</v>
      </c>
    </row>
    <row r="112" spans="1:22" x14ac:dyDescent="0.25">
      <c r="A112">
        <v>12</v>
      </c>
      <c r="E112">
        <f t="shared" si="50"/>
        <v>0</v>
      </c>
      <c r="F112" t="e">
        <f t="shared" si="43"/>
        <v>#NUM!</v>
      </c>
      <c r="G112">
        <f t="shared" si="44"/>
        <v>-2.2499999999999998E-3</v>
      </c>
      <c r="H112">
        <f t="shared" si="45"/>
        <v>0</v>
      </c>
      <c r="J112">
        <f t="shared" si="46"/>
        <v>-1.4390973981119042E-3</v>
      </c>
      <c r="Q112">
        <v>12</v>
      </c>
      <c r="U112" s="1">
        <f t="shared" si="51"/>
        <v>699629</v>
      </c>
      <c r="V112" s="2">
        <f t="shared" si="49"/>
        <v>699629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geometry</vt:lpstr>
      <vt:lpstr>kpt.alex</vt:lpstr>
      <vt:lpstr>List1</vt:lpstr>
      <vt:lpstr>exp</vt:lpstr>
    </vt:vector>
  </TitlesOfParts>
  <Company>doma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stenli</dc:creator>
  <cp:lastModifiedBy>doma</cp:lastModifiedBy>
  <dcterms:created xsi:type="dcterms:W3CDTF">2021-11-03T18:52:08Z</dcterms:created>
  <dcterms:modified xsi:type="dcterms:W3CDTF">2026-09-06T05:09:42Z</dcterms:modified>
</cp:coreProperties>
</file>